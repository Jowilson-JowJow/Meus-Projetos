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A" sheetId="1" state="visible" r:id="rId1"/>
    <sheet name="2B" sheetId="2" state="visible" r:id="rId2"/>
    <sheet name="2C" sheetId="3" state="visible" r:id="rId3"/>
    <sheet name="2D" sheetId="4" state="visible" r:id="rId4"/>
    <sheet name="3A" sheetId="5" state="visible" r:id="rId5"/>
    <sheet name="3B" sheetId="6" state="visible" r:id="rId6"/>
    <sheet name="3C" sheetId="7" state="visible" r:id="rId7"/>
    <sheet name="3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N1_B1</t>
        </is>
      </c>
      <c r="C1" t="inlineStr">
        <is>
          <t>N2_B1</t>
        </is>
      </c>
      <c r="D1" t="inlineStr">
        <is>
          <t>N3_B1</t>
        </is>
      </c>
      <c r="E1" t="inlineStr">
        <is>
          <t>N4_B1</t>
        </is>
      </c>
      <c r="F1" t="inlineStr">
        <is>
          <t>Atv1_B1</t>
        </is>
      </c>
      <c r="G1" t="inlineStr">
        <is>
          <t>Atv2_B1</t>
        </is>
      </c>
      <c r="H1" t="inlineStr">
        <is>
          <t>Media_B1</t>
        </is>
      </c>
      <c r="I1" t="inlineStr">
        <is>
          <t>N1_B2</t>
        </is>
      </c>
      <c r="J1" t="inlineStr">
        <is>
          <t>N2_B2</t>
        </is>
      </c>
      <c r="K1" t="inlineStr">
        <is>
          <t>N3_B2</t>
        </is>
      </c>
      <c r="L1" t="inlineStr">
        <is>
          <t>N4_B2</t>
        </is>
      </c>
      <c r="M1" t="inlineStr">
        <is>
          <t>Atv1_B2</t>
        </is>
      </c>
      <c r="N1" t="inlineStr">
        <is>
          <t>Atv2_B2</t>
        </is>
      </c>
      <c r="O1" t="inlineStr">
        <is>
          <t>Media_B2</t>
        </is>
      </c>
      <c r="P1" t="inlineStr">
        <is>
          <t>N1_B3</t>
        </is>
      </c>
      <c r="Q1" t="inlineStr">
        <is>
          <t>N2_B3</t>
        </is>
      </c>
      <c r="R1" t="inlineStr">
        <is>
          <t>N3_B3</t>
        </is>
      </c>
      <c r="S1" t="inlineStr">
        <is>
          <t>N4_B3</t>
        </is>
      </c>
      <c r="T1" t="inlineStr">
        <is>
          <t>Atv1_B3</t>
        </is>
      </c>
      <c r="U1" t="inlineStr">
        <is>
          <t>Atv2_B3</t>
        </is>
      </c>
      <c r="V1" t="inlineStr">
        <is>
          <t>Media_B3</t>
        </is>
      </c>
      <c r="W1" t="inlineStr">
        <is>
          <t>N1_B4</t>
        </is>
      </c>
      <c r="X1" t="inlineStr">
        <is>
          <t>N2_B4</t>
        </is>
      </c>
      <c r="Y1" t="inlineStr">
        <is>
          <t>N3_B4</t>
        </is>
      </c>
      <c r="Z1" t="inlineStr">
        <is>
          <t>N4_B4</t>
        </is>
      </c>
      <c r="AA1" t="inlineStr">
        <is>
          <t>Atv1_B4</t>
        </is>
      </c>
      <c r="AB1" t="inlineStr">
        <is>
          <t>Atv2_B4</t>
        </is>
      </c>
      <c r="AC1" t="inlineStr">
        <is>
          <t>Media_B4</t>
        </is>
      </c>
      <c r="AD1" t="inlineStr">
        <is>
          <t>Media_Anual</t>
        </is>
      </c>
      <c r="AE1" t="inlineStr">
        <is>
          <t>Status</t>
        </is>
      </c>
    </row>
    <row r="2">
      <c r="A2" t="inlineStr">
        <is>
          <t>ABNER ALMEIDA ESCALANTE BARBOZA</t>
        </is>
      </c>
      <c r="H2">
        <f>IFERROR(MIN(MROUND((((LARGE(B2:D2,1)+LARGE(B2:D2,2)+E2)/3)+F2+G2), 0.5), 10), 0)</f>
        <v/>
      </c>
      <c r="O2">
        <f>IFERROR(MIN(MROUND((((LARGE(I2:K2,1)+LARGE(I2:K2,2)+L2)/3)+M2+N2), 0.5), 10), 0)</f>
        <v/>
      </c>
      <c r="V2">
        <f>IFERROR(MIN(MROUND((((LARGE(P2:R2,1)+LARGE(P2:R2,2)+S2)/3)+T2+U2), 0.5), 10), 0)</f>
        <v/>
      </c>
      <c r="AC2">
        <f>IFERROR(MIN(MROUND((((LARGE(W2:Y2,1)+LARGE(W2:Y2,2)+Z2)/3)+AA2+AB2), 0.5), 10), 0)</f>
        <v/>
      </c>
      <c r="AD2">
        <f>MROUND(IF(O2=0,H2,IF(V2=0,AVERAGE(H2,O2),IF(AC2=0,AVERAGE(H2,O2,V2),AVERAGE(H2,O2,V2,AC2)))), 0.5)</f>
        <v/>
      </c>
      <c r="AE2">
        <f>IF(AD2&gt;=6,"Aprovado","Exame")</f>
        <v/>
      </c>
    </row>
    <row r="3">
      <c r="A3" t="inlineStr">
        <is>
          <t>AMANDA GONÇALVES REFOSCO DA SILVA</t>
        </is>
      </c>
      <c r="H3">
        <f>IFERROR(MIN(MROUND((((LARGE(B3:D3,1)+LARGE(B3:D3,2)+E3)/3)+F3+G3), 0.5), 10), 0)</f>
        <v/>
      </c>
      <c r="O3">
        <f>IFERROR(MIN(MROUND((((LARGE(I3:K3,1)+LARGE(I3:K3,2)+L3)/3)+M3+N3), 0.5), 10), 0)</f>
        <v/>
      </c>
      <c r="V3">
        <f>IFERROR(MIN(MROUND((((LARGE(P3:R3,1)+LARGE(P3:R3,2)+S3)/3)+T3+U3), 0.5), 10), 0)</f>
        <v/>
      </c>
      <c r="AC3">
        <f>IFERROR(MIN(MROUND((((LARGE(W3:Y3,1)+LARGE(W3:Y3,2)+Z3)/3)+AA3+AB3), 0.5), 10), 0)</f>
        <v/>
      </c>
      <c r="AD3">
        <f>MROUND(IF(O3=0,H3,IF(V3=0,AVERAGE(H3,O3),IF(AC3=0,AVERAGE(H3,O3,V3),AVERAGE(H3,O3,V3,AC3)))), 0.5)</f>
        <v/>
      </c>
      <c r="AE3">
        <f>IF(AD3&gt;=6,"Aprovado","Exame")</f>
        <v/>
      </c>
    </row>
    <row r="4">
      <c r="A4" t="inlineStr">
        <is>
          <t>AMANDA ZADI GONZALES</t>
        </is>
      </c>
      <c r="H4">
        <f>IFERROR(MIN(MROUND((((LARGE(B4:D4,1)+LARGE(B4:D4,2)+E4)/3)+F4+G4), 0.5), 10), 0)</f>
        <v/>
      </c>
      <c r="O4">
        <f>IFERROR(MIN(MROUND((((LARGE(I4:K4,1)+LARGE(I4:K4,2)+L4)/3)+M4+N4), 0.5), 10), 0)</f>
        <v/>
      </c>
      <c r="V4">
        <f>IFERROR(MIN(MROUND((((LARGE(P4:R4,1)+LARGE(P4:R4,2)+S4)/3)+T4+U4), 0.5), 10), 0)</f>
        <v/>
      </c>
      <c r="AC4">
        <f>IFERROR(MIN(MROUND((((LARGE(W4:Y4,1)+LARGE(W4:Y4,2)+Z4)/3)+AA4+AB4), 0.5), 10), 0)</f>
        <v/>
      </c>
      <c r="AD4">
        <f>MROUND(IF(O4=0,H4,IF(V4=0,AVERAGE(H4,O4),IF(AC4=0,AVERAGE(H4,O4,V4),AVERAGE(H4,O4,V4,AC4)))), 0.5)</f>
        <v/>
      </c>
      <c r="AE4">
        <f>IF(AD4&gt;=6,"Aprovado","Exame")</f>
        <v/>
      </c>
    </row>
    <row r="5">
      <c r="A5" t="inlineStr">
        <is>
          <t>ANA CAROLINA EUSTÁCHIO PADILHA</t>
        </is>
      </c>
      <c r="H5">
        <f>IFERROR(MIN(MROUND((((LARGE(B5:D5,1)+LARGE(B5:D5,2)+E5)/3)+F5+G5), 0.5), 10), 0)</f>
        <v/>
      </c>
      <c r="O5">
        <f>IFERROR(MIN(MROUND((((LARGE(I5:K5,1)+LARGE(I5:K5,2)+L5)/3)+M5+N5), 0.5), 10), 0)</f>
        <v/>
      </c>
      <c r="V5">
        <f>IFERROR(MIN(MROUND((((LARGE(P5:R5,1)+LARGE(P5:R5,2)+S5)/3)+T5+U5), 0.5), 10), 0)</f>
        <v/>
      </c>
      <c r="AC5">
        <f>IFERROR(MIN(MROUND((((LARGE(W5:Y5,1)+LARGE(W5:Y5,2)+Z5)/3)+AA5+AB5), 0.5), 10), 0)</f>
        <v/>
      </c>
      <c r="AD5">
        <f>MROUND(IF(O5=0,H5,IF(V5=0,AVERAGE(H5,O5),IF(AC5=0,AVERAGE(H5,O5,V5),AVERAGE(H5,O5,V5,AC5)))), 0.5)</f>
        <v/>
      </c>
      <c r="AE5">
        <f>IF(AD5&gt;=6,"Aprovado","Exame")</f>
        <v/>
      </c>
    </row>
    <row r="6">
      <c r="A6" t="inlineStr">
        <is>
          <t>ANTHONY AJALA RAMOS</t>
        </is>
      </c>
      <c r="H6">
        <f>IFERROR(MIN(MROUND((((LARGE(B6:D6,1)+LARGE(B6:D6,2)+E6)/3)+F6+G6), 0.5), 10), 0)</f>
        <v/>
      </c>
      <c r="O6">
        <f>IFERROR(MIN(MROUND((((LARGE(I6:K6,1)+LARGE(I6:K6,2)+L6)/3)+M6+N6), 0.5), 10), 0)</f>
        <v/>
      </c>
      <c r="V6">
        <f>IFERROR(MIN(MROUND((((LARGE(P6:R6,1)+LARGE(P6:R6,2)+S6)/3)+T6+U6), 0.5), 10), 0)</f>
        <v/>
      </c>
      <c r="AC6">
        <f>IFERROR(MIN(MROUND((((LARGE(W6:Y6,1)+LARGE(W6:Y6,2)+Z6)/3)+AA6+AB6), 0.5), 10), 0)</f>
        <v/>
      </c>
      <c r="AD6">
        <f>MROUND(IF(O6=0,H6,IF(V6=0,AVERAGE(H6,O6),IF(AC6=0,AVERAGE(H6,O6,V6),AVERAGE(H6,O6,V6,AC6)))), 0.5)</f>
        <v/>
      </c>
      <c r="AE6">
        <f>IF(AD6&gt;=6,"Aprovado","Exame")</f>
        <v/>
      </c>
    </row>
    <row r="7">
      <c r="A7" t="inlineStr">
        <is>
          <t>BIANCA SILVA BOAVENTURA</t>
        </is>
      </c>
      <c r="H7">
        <f>IFERROR(MIN(MROUND((((LARGE(B7:D7,1)+LARGE(B7:D7,2)+E7)/3)+F7+G7), 0.5), 10), 0)</f>
        <v/>
      </c>
      <c r="O7">
        <f>IFERROR(MIN(MROUND((((LARGE(I7:K7,1)+LARGE(I7:K7,2)+L7)/3)+M7+N7), 0.5), 10), 0)</f>
        <v/>
      </c>
      <c r="V7">
        <f>IFERROR(MIN(MROUND((((LARGE(P7:R7,1)+LARGE(P7:R7,2)+S7)/3)+T7+U7), 0.5), 10), 0)</f>
        <v/>
      </c>
      <c r="AC7">
        <f>IFERROR(MIN(MROUND((((LARGE(W7:Y7,1)+LARGE(W7:Y7,2)+Z7)/3)+AA7+AB7), 0.5), 10), 0)</f>
        <v/>
      </c>
      <c r="AD7">
        <f>MROUND(IF(O7=0,H7,IF(V7=0,AVERAGE(H7,O7),IF(AC7=0,AVERAGE(H7,O7,V7),AVERAGE(H7,O7,V7,AC7)))), 0.5)</f>
        <v/>
      </c>
      <c r="AE7">
        <f>IF(AD7&gt;=6,"Aprovado","Exame")</f>
        <v/>
      </c>
    </row>
    <row r="8">
      <c r="A8" t="inlineStr">
        <is>
          <t>CLARA CHIARAPA MADUREIRA DE PINHO</t>
        </is>
      </c>
      <c r="H8">
        <f>IFERROR(MIN(MROUND((((LARGE(B8:D8,1)+LARGE(B8:D8,2)+E8)/3)+F8+G8), 0.5), 10), 0)</f>
        <v/>
      </c>
      <c r="O8">
        <f>IFERROR(MIN(MROUND((((LARGE(I8:K8,1)+LARGE(I8:K8,2)+L8)/3)+M8+N8), 0.5), 10), 0)</f>
        <v/>
      </c>
      <c r="V8">
        <f>IFERROR(MIN(MROUND((((LARGE(P8:R8,1)+LARGE(P8:R8,2)+S8)/3)+T8+U8), 0.5), 10), 0)</f>
        <v/>
      </c>
      <c r="AC8">
        <f>IFERROR(MIN(MROUND((((LARGE(W8:Y8,1)+LARGE(W8:Y8,2)+Z8)/3)+AA8+AB8), 0.5), 10), 0)</f>
        <v/>
      </c>
      <c r="AD8">
        <f>MROUND(IF(O8=0,H8,IF(V8=0,AVERAGE(H8,O8),IF(AC8=0,AVERAGE(H8,O8,V8),AVERAGE(H8,O8,V8,AC8)))), 0.5)</f>
        <v/>
      </c>
      <c r="AE8">
        <f>IF(AD8&gt;=6,"Aprovado","Exame")</f>
        <v/>
      </c>
    </row>
    <row r="9">
      <c r="A9" t="inlineStr">
        <is>
          <t>EDUARDO ALBUQUERQUE RAMOS</t>
        </is>
      </c>
      <c r="H9">
        <f>IFERROR(MIN(MROUND((((LARGE(B9:D9,1)+LARGE(B9:D9,2)+E9)/3)+F9+G9), 0.5), 10), 0)</f>
        <v/>
      </c>
      <c r="O9">
        <f>IFERROR(MIN(MROUND((((LARGE(I9:K9,1)+LARGE(I9:K9,2)+L9)/3)+M9+N9), 0.5), 10), 0)</f>
        <v/>
      </c>
      <c r="V9">
        <f>IFERROR(MIN(MROUND((((LARGE(P9:R9,1)+LARGE(P9:R9,2)+S9)/3)+T9+U9), 0.5), 10), 0)</f>
        <v/>
      </c>
      <c r="AC9">
        <f>IFERROR(MIN(MROUND((((LARGE(W9:Y9,1)+LARGE(W9:Y9,2)+Z9)/3)+AA9+AB9), 0.5), 10), 0)</f>
        <v/>
      </c>
      <c r="AD9">
        <f>MROUND(IF(O9=0,H9,IF(V9=0,AVERAGE(H9,O9),IF(AC9=0,AVERAGE(H9,O9,V9),AVERAGE(H9,O9,V9,AC9)))), 0.5)</f>
        <v/>
      </c>
      <c r="AE9">
        <f>IF(AD9&gt;=6,"Aprovado","Exame")</f>
        <v/>
      </c>
    </row>
    <row r="10">
      <c r="A10" t="inlineStr">
        <is>
          <t>EMANUELLY DOS SANTOS NASCIMENTO BATISTA DE MELO</t>
        </is>
      </c>
      <c r="H10">
        <f>IFERROR(MIN(MROUND((((LARGE(B10:D10,1)+LARGE(B10:D10,2)+E10)/3)+F10+G10), 0.5), 10), 0)</f>
        <v/>
      </c>
      <c r="O10">
        <f>IFERROR(MIN(MROUND((((LARGE(I10:K10,1)+LARGE(I10:K10,2)+L10)/3)+M10+N10), 0.5), 10), 0)</f>
        <v/>
      </c>
      <c r="V10">
        <f>IFERROR(MIN(MROUND((((LARGE(P10:R10,1)+LARGE(P10:R10,2)+S10)/3)+T10+U10), 0.5), 10), 0)</f>
        <v/>
      </c>
      <c r="AC10">
        <f>IFERROR(MIN(MROUND((((LARGE(W10:Y10,1)+LARGE(W10:Y10,2)+Z10)/3)+AA10+AB10), 0.5), 10), 0)</f>
        <v/>
      </c>
      <c r="AD10">
        <f>MROUND(IF(O10=0,H10,IF(V10=0,AVERAGE(H10,O10),IF(AC10=0,AVERAGE(H10,O10,V10),AVERAGE(H10,O10,V10,AC10)))), 0.5)</f>
        <v/>
      </c>
      <c r="AE10">
        <f>IF(AD10&gt;=6,"Aprovado","Exame")</f>
        <v/>
      </c>
    </row>
    <row r="11">
      <c r="A11" t="inlineStr">
        <is>
          <t>EMILIANO MEJIA JIMENEZ</t>
        </is>
      </c>
      <c r="H11">
        <f>IFERROR(MIN(MROUND((((LARGE(B11:D11,1)+LARGE(B11:D11,2)+E11)/3)+F11+G11), 0.5), 10), 0)</f>
        <v/>
      </c>
      <c r="O11">
        <f>IFERROR(MIN(MROUND((((LARGE(I11:K11,1)+LARGE(I11:K11,2)+L11)/3)+M11+N11), 0.5), 10), 0)</f>
        <v/>
      </c>
      <c r="V11">
        <f>IFERROR(MIN(MROUND((((LARGE(P11:R11,1)+LARGE(P11:R11,2)+S11)/3)+T11+U11), 0.5), 10), 0)</f>
        <v/>
      </c>
      <c r="AC11">
        <f>IFERROR(MIN(MROUND((((LARGE(W11:Y11,1)+LARGE(W11:Y11,2)+Z11)/3)+AA11+AB11), 0.5), 10), 0)</f>
        <v/>
      </c>
      <c r="AD11">
        <f>MROUND(IF(O11=0,H11,IF(V11=0,AVERAGE(H11,O11),IF(AC11=0,AVERAGE(H11,O11,V11),AVERAGE(H11,O11,V11,AC11)))), 0.5)</f>
        <v/>
      </c>
      <c r="AE11">
        <f>IF(AD11&gt;=6,"Aprovado","Exame")</f>
        <v/>
      </c>
    </row>
    <row r="12">
      <c r="A12" t="inlineStr">
        <is>
          <t>FELIPE PILEGI DIB</t>
        </is>
      </c>
      <c r="H12">
        <f>IFERROR(MIN(MROUND((((LARGE(B12:D12,1)+LARGE(B12:D12,2)+E12)/3)+F12+G12), 0.5), 10), 0)</f>
        <v/>
      </c>
      <c r="O12">
        <f>IFERROR(MIN(MROUND((((LARGE(I12:K12,1)+LARGE(I12:K12,2)+L12)/3)+M12+N12), 0.5), 10), 0)</f>
        <v/>
      </c>
      <c r="V12">
        <f>IFERROR(MIN(MROUND((((LARGE(P12:R12,1)+LARGE(P12:R12,2)+S12)/3)+T12+U12), 0.5), 10), 0)</f>
        <v/>
      </c>
      <c r="AC12">
        <f>IFERROR(MIN(MROUND((((LARGE(W12:Y12,1)+LARGE(W12:Y12,2)+Z12)/3)+AA12+AB12), 0.5), 10), 0)</f>
        <v/>
      </c>
      <c r="AD12">
        <f>MROUND(IF(O12=0,H12,IF(V12=0,AVERAGE(H12,O12),IF(AC12=0,AVERAGE(H12,O12,V12),AVERAGE(H12,O12,V12,AC12)))), 0.5)</f>
        <v/>
      </c>
      <c r="AE12">
        <f>IF(AD12&gt;=6,"Aprovado","Exame")</f>
        <v/>
      </c>
    </row>
    <row r="13">
      <c r="A13" t="inlineStr">
        <is>
          <t>FERNANDA FLORENCIO BATISTA</t>
        </is>
      </c>
      <c r="H13">
        <f>IFERROR(MIN(MROUND((((LARGE(B13:D13,1)+LARGE(B13:D13,2)+E13)/3)+F13+G13), 0.5), 10), 0)</f>
        <v/>
      </c>
      <c r="O13">
        <f>IFERROR(MIN(MROUND((((LARGE(I13:K13,1)+LARGE(I13:K13,2)+L13)/3)+M13+N13), 0.5), 10), 0)</f>
        <v/>
      </c>
      <c r="V13">
        <f>IFERROR(MIN(MROUND((((LARGE(P13:R13,1)+LARGE(P13:R13,2)+S13)/3)+T13+U13), 0.5), 10), 0)</f>
        <v/>
      </c>
      <c r="AC13">
        <f>IFERROR(MIN(MROUND((((LARGE(W13:Y13,1)+LARGE(W13:Y13,2)+Z13)/3)+AA13+AB13), 0.5), 10), 0)</f>
        <v/>
      </c>
      <c r="AD13">
        <f>MROUND(IF(O13=0,H13,IF(V13=0,AVERAGE(H13,O13),IF(AC13=0,AVERAGE(H13,O13,V13),AVERAGE(H13,O13,V13,AC13)))), 0.5)</f>
        <v/>
      </c>
      <c r="AE13">
        <f>IF(AD13&gt;=6,"Aprovado","Exame")</f>
        <v/>
      </c>
    </row>
    <row r="14">
      <c r="A14" t="inlineStr">
        <is>
          <t>FERNANDA MOTTA ALDROVANDI</t>
        </is>
      </c>
      <c r="H14">
        <f>IFERROR(MIN(MROUND((((LARGE(B14:D14,1)+LARGE(B14:D14,2)+E14)/3)+F14+G14), 0.5), 10), 0)</f>
        <v/>
      </c>
      <c r="O14">
        <f>IFERROR(MIN(MROUND((((LARGE(I14:K14,1)+LARGE(I14:K14,2)+L14)/3)+M14+N14), 0.5), 10), 0)</f>
        <v/>
      </c>
      <c r="V14">
        <f>IFERROR(MIN(MROUND((((LARGE(P14:R14,1)+LARGE(P14:R14,2)+S14)/3)+T14+U14), 0.5), 10), 0)</f>
        <v/>
      </c>
      <c r="AC14">
        <f>IFERROR(MIN(MROUND((((LARGE(W14:Y14,1)+LARGE(W14:Y14,2)+Z14)/3)+AA14+AB14), 0.5), 10), 0)</f>
        <v/>
      </c>
      <c r="AD14">
        <f>MROUND(IF(O14=0,H14,IF(V14=0,AVERAGE(H14,O14),IF(AC14=0,AVERAGE(H14,O14,V14),AVERAGE(H14,O14,V14,AC14)))), 0.5)</f>
        <v/>
      </c>
      <c r="AE14">
        <f>IF(AD14&gt;=6,"Aprovado","Exame")</f>
        <v/>
      </c>
    </row>
    <row r="15">
      <c r="A15" t="inlineStr">
        <is>
          <t>GUILHERME STIEGEMEIER DE SOUZA</t>
        </is>
      </c>
      <c r="H15">
        <f>IFERROR(MIN(MROUND((((LARGE(B15:D15,1)+LARGE(B15:D15,2)+E15)/3)+F15+G15), 0.5), 10), 0)</f>
        <v/>
      </c>
      <c r="O15">
        <f>IFERROR(MIN(MROUND((((LARGE(I15:K15,1)+LARGE(I15:K15,2)+L15)/3)+M15+N15), 0.5), 10), 0)</f>
        <v/>
      </c>
      <c r="V15">
        <f>IFERROR(MIN(MROUND((((LARGE(P15:R15,1)+LARGE(P15:R15,2)+S15)/3)+T15+U15), 0.5), 10), 0)</f>
        <v/>
      </c>
      <c r="AC15">
        <f>IFERROR(MIN(MROUND((((LARGE(W15:Y15,1)+LARGE(W15:Y15,2)+Z15)/3)+AA15+AB15), 0.5), 10), 0)</f>
        <v/>
      </c>
      <c r="AD15">
        <f>MROUND(IF(O15=0,H15,IF(V15=0,AVERAGE(H15,O15),IF(AC15=0,AVERAGE(H15,O15,V15),AVERAGE(H15,O15,V15,AC15)))), 0.5)</f>
        <v/>
      </c>
      <c r="AE15">
        <f>IF(AD15&gt;=6,"Aprovado","Exame")</f>
        <v/>
      </c>
    </row>
    <row r="16">
      <c r="A16" t="inlineStr">
        <is>
          <t>JHULLIANY MEIRELES ANTUNES</t>
        </is>
      </c>
      <c r="H16">
        <f>IFERROR(MIN(MROUND((((LARGE(B16:D16,1)+LARGE(B16:D16,2)+E16)/3)+F16+G16), 0.5), 10), 0)</f>
        <v/>
      </c>
      <c r="O16">
        <f>IFERROR(MIN(MROUND((((LARGE(I16:K16,1)+LARGE(I16:K16,2)+L16)/3)+M16+N16), 0.5), 10), 0)</f>
        <v/>
      </c>
      <c r="V16">
        <f>IFERROR(MIN(MROUND((((LARGE(P16:R16,1)+LARGE(P16:R16,2)+S16)/3)+T16+U16), 0.5), 10), 0)</f>
        <v/>
      </c>
      <c r="AC16">
        <f>IFERROR(MIN(MROUND((((LARGE(W16:Y16,1)+LARGE(W16:Y16,2)+Z16)/3)+AA16+AB16), 0.5), 10), 0)</f>
        <v/>
      </c>
      <c r="AD16">
        <f>MROUND(IF(O16=0,H16,IF(V16=0,AVERAGE(H16,O16),IF(AC16=0,AVERAGE(H16,O16,V16),AVERAGE(H16,O16,V16,AC16)))), 0.5)</f>
        <v/>
      </c>
      <c r="AE16">
        <f>IF(AD16&gt;=6,"Aprovado","Exame")</f>
        <v/>
      </c>
    </row>
    <row r="17">
      <c r="A17" t="inlineStr">
        <is>
          <t>JOÃO VICTOR VIEIRA PACINI</t>
        </is>
      </c>
      <c r="H17">
        <f>IFERROR(MIN(MROUND((((LARGE(B17:D17,1)+LARGE(B17:D17,2)+E17)/3)+F17+G17), 0.5), 10), 0)</f>
        <v/>
      </c>
      <c r="O17">
        <f>IFERROR(MIN(MROUND((((LARGE(I17:K17,1)+LARGE(I17:K17,2)+L17)/3)+M17+N17), 0.5), 10), 0)</f>
        <v/>
      </c>
      <c r="V17">
        <f>IFERROR(MIN(MROUND((((LARGE(P17:R17,1)+LARGE(P17:R17,2)+S17)/3)+T17+U17), 0.5), 10), 0)</f>
        <v/>
      </c>
      <c r="AC17">
        <f>IFERROR(MIN(MROUND((((LARGE(W17:Y17,1)+LARGE(W17:Y17,2)+Z17)/3)+AA17+AB17), 0.5), 10), 0)</f>
        <v/>
      </c>
      <c r="AD17">
        <f>MROUND(IF(O17=0,H17,IF(V17=0,AVERAGE(H17,O17),IF(AC17=0,AVERAGE(H17,O17,V17),AVERAGE(H17,O17,V17,AC17)))), 0.5)</f>
        <v/>
      </c>
      <c r="AE17">
        <f>IF(AD17&gt;=6,"Aprovado","Exame")</f>
        <v/>
      </c>
    </row>
    <row r="18">
      <c r="A18" t="inlineStr">
        <is>
          <t>JULIA NOVAES FILES</t>
        </is>
      </c>
      <c r="H18">
        <f>IFERROR(MIN(MROUND((((LARGE(B18:D18,1)+LARGE(B18:D18,2)+E18)/3)+F18+G18), 0.5), 10), 0)</f>
        <v/>
      </c>
      <c r="O18">
        <f>IFERROR(MIN(MROUND((((LARGE(I18:K18,1)+LARGE(I18:K18,2)+L18)/3)+M18+N18), 0.5), 10), 0)</f>
        <v/>
      </c>
      <c r="V18">
        <f>IFERROR(MIN(MROUND((((LARGE(P18:R18,1)+LARGE(P18:R18,2)+S18)/3)+T18+U18), 0.5), 10), 0)</f>
        <v/>
      </c>
      <c r="AC18">
        <f>IFERROR(MIN(MROUND((((LARGE(W18:Y18,1)+LARGE(W18:Y18,2)+Z18)/3)+AA18+AB18), 0.5), 10), 0)</f>
        <v/>
      </c>
      <c r="AD18">
        <f>MROUND(IF(O18=0,H18,IF(V18=0,AVERAGE(H18,O18),IF(AC18=0,AVERAGE(H18,O18,V18),AVERAGE(H18,O18,V18,AC18)))), 0.5)</f>
        <v/>
      </c>
      <c r="AE18">
        <f>IF(AD18&gt;=6,"Aprovado","Exame")</f>
        <v/>
      </c>
    </row>
    <row r="19">
      <c r="A19" t="inlineStr">
        <is>
          <t>JULIA VASQUES FERRAZ</t>
        </is>
      </c>
      <c r="H19">
        <f>IFERROR(MIN(MROUND((((LARGE(B19:D19,1)+LARGE(B19:D19,2)+E19)/3)+F19+G19), 0.5), 10), 0)</f>
        <v/>
      </c>
      <c r="O19">
        <f>IFERROR(MIN(MROUND((((LARGE(I19:K19,1)+LARGE(I19:K19,2)+L19)/3)+M19+N19), 0.5), 10), 0)</f>
        <v/>
      </c>
      <c r="V19">
        <f>IFERROR(MIN(MROUND((((LARGE(P19:R19,1)+LARGE(P19:R19,2)+S19)/3)+T19+U19), 0.5), 10), 0)</f>
        <v/>
      </c>
      <c r="AC19">
        <f>IFERROR(MIN(MROUND((((LARGE(W19:Y19,1)+LARGE(W19:Y19,2)+Z19)/3)+AA19+AB19), 0.5), 10), 0)</f>
        <v/>
      </c>
      <c r="AD19">
        <f>MROUND(IF(O19=0,H19,IF(V19=0,AVERAGE(H19,O19),IF(AC19=0,AVERAGE(H19,O19,V19),AVERAGE(H19,O19,V19,AC19)))), 0.5)</f>
        <v/>
      </c>
      <c r="AE19">
        <f>IF(AD19&gt;=6,"Aprovado","Exame")</f>
        <v/>
      </c>
    </row>
    <row r="20">
      <c r="A20" t="inlineStr">
        <is>
          <t>KARINA MARTINS DA SILVA</t>
        </is>
      </c>
      <c r="H20">
        <f>IFERROR(MIN(MROUND((((LARGE(B20:D20,1)+LARGE(B20:D20,2)+E20)/3)+F20+G20), 0.5), 10), 0)</f>
        <v/>
      </c>
      <c r="O20">
        <f>IFERROR(MIN(MROUND((((LARGE(I20:K20,1)+LARGE(I20:K20,2)+L20)/3)+M20+N20), 0.5), 10), 0)</f>
        <v/>
      </c>
      <c r="V20">
        <f>IFERROR(MIN(MROUND((((LARGE(P20:R20,1)+LARGE(P20:R20,2)+S20)/3)+T20+U20), 0.5), 10), 0)</f>
        <v/>
      </c>
      <c r="AC20">
        <f>IFERROR(MIN(MROUND((((LARGE(W20:Y20,1)+LARGE(W20:Y20,2)+Z20)/3)+AA20+AB20), 0.5), 10), 0)</f>
        <v/>
      </c>
      <c r="AD20">
        <f>MROUND(IF(O20=0,H20,IF(V20=0,AVERAGE(H20,O20),IF(AC20=0,AVERAGE(H20,O20,V20),AVERAGE(H20,O20,V20,AC20)))), 0.5)</f>
        <v/>
      </c>
      <c r="AE20">
        <f>IF(AD20&gt;=6,"Aprovado","Exame")</f>
        <v/>
      </c>
    </row>
    <row r="21">
      <c r="A21" t="inlineStr">
        <is>
          <t>KAWANY DANIELLY DA SILVA FERREIRA</t>
        </is>
      </c>
      <c r="H21">
        <f>IFERROR(MIN(MROUND((((LARGE(B21:D21,1)+LARGE(B21:D21,2)+E21)/3)+F21+G21), 0.5), 10), 0)</f>
        <v/>
      </c>
      <c r="O21">
        <f>IFERROR(MIN(MROUND((((LARGE(I21:K21,1)+LARGE(I21:K21,2)+L21)/3)+M21+N21), 0.5), 10), 0)</f>
        <v/>
      </c>
      <c r="V21">
        <f>IFERROR(MIN(MROUND((((LARGE(P21:R21,1)+LARGE(P21:R21,2)+S21)/3)+T21+U21), 0.5), 10), 0)</f>
        <v/>
      </c>
      <c r="AC21">
        <f>IFERROR(MIN(MROUND((((LARGE(W21:Y21,1)+LARGE(W21:Y21,2)+Z21)/3)+AA21+AB21), 0.5), 10), 0)</f>
        <v/>
      </c>
      <c r="AD21">
        <f>MROUND(IF(O21=0,H21,IF(V21=0,AVERAGE(H21,O21),IF(AC21=0,AVERAGE(H21,O21,V21),AVERAGE(H21,O21,V21,AC21)))), 0.5)</f>
        <v/>
      </c>
      <c r="AE21">
        <f>IF(AD21&gt;=6,"Aprovado","Exame")</f>
        <v/>
      </c>
    </row>
    <row r="22">
      <c r="A22" t="inlineStr">
        <is>
          <t>LIVIA ROCHA CLAUDINO</t>
        </is>
      </c>
      <c r="H22">
        <f>IFERROR(MIN(MROUND((((LARGE(B22:D22,1)+LARGE(B22:D22,2)+E22)/3)+F22+G22), 0.5), 10), 0)</f>
        <v/>
      </c>
      <c r="O22">
        <f>IFERROR(MIN(MROUND((((LARGE(I22:K22,1)+LARGE(I22:K22,2)+L22)/3)+M22+N22), 0.5), 10), 0)</f>
        <v/>
      </c>
      <c r="V22">
        <f>IFERROR(MIN(MROUND((((LARGE(P22:R22,1)+LARGE(P22:R22,2)+S22)/3)+T22+U22), 0.5), 10), 0)</f>
        <v/>
      </c>
      <c r="AC22">
        <f>IFERROR(MIN(MROUND((((LARGE(W22:Y22,1)+LARGE(W22:Y22,2)+Z22)/3)+AA22+AB22), 0.5), 10), 0)</f>
        <v/>
      </c>
      <c r="AD22">
        <f>MROUND(IF(O22=0,H22,IF(V22=0,AVERAGE(H22,O22),IF(AC22=0,AVERAGE(H22,O22,V22),AVERAGE(H22,O22,V22,AC22)))), 0.5)</f>
        <v/>
      </c>
      <c r="AE22">
        <f>IF(AD22&gt;=6,"Aprovado","Exame")</f>
        <v/>
      </c>
    </row>
    <row r="23">
      <c r="A23" t="inlineStr">
        <is>
          <t>LUCAS VENERUCHI MARINHO VALADARES</t>
        </is>
      </c>
      <c r="H23">
        <f>IFERROR(MIN(MROUND((((LARGE(B23:D23,1)+LARGE(B23:D23,2)+E23)/3)+F23+G23), 0.5), 10), 0)</f>
        <v/>
      </c>
      <c r="O23">
        <f>IFERROR(MIN(MROUND((((LARGE(I23:K23,1)+LARGE(I23:K23,2)+L23)/3)+M23+N23), 0.5), 10), 0)</f>
        <v/>
      </c>
      <c r="V23">
        <f>IFERROR(MIN(MROUND((((LARGE(P23:R23,1)+LARGE(P23:R23,2)+S23)/3)+T23+U23), 0.5), 10), 0)</f>
        <v/>
      </c>
      <c r="AC23">
        <f>IFERROR(MIN(MROUND((((LARGE(W23:Y23,1)+LARGE(W23:Y23,2)+Z23)/3)+AA23+AB23), 0.5), 10), 0)</f>
        <v/>
      </c>
      <c r="AD23">
        <f>MROUND(IF(O23=0,H23,IF(V23=0,AVERAGE(H23,O23),IF(AC23=0,AVERAGE(H23,O23,V23),AVERAGE(H23,O23,V23,AC23)))), 0.5)</f>
        <v/>
      </c>
      <c r="AE23">
        <f>IF(AD23&gt;=6,"Aprovado","Exame")</f>
        <v/>
      </c>
    </row>
    <row r="24">
      <c r="A24" t="inlineStr">
        <is>
          <t>MARCOS ANDRÉ REYES DE OLIVEIRA</t>
        </is>
      </c>
      <c r="H24">
        <f>IFERROR(MIN(MROUND((((LARGE(B24:D24,1)+LARGE(B24:D24,2)+E24)/3)+F24+G24), 0.5), 10), 0)</f>
        <v/>
      </c>
      <c r="O24">
        <f>IFERROR(MIN(MROUND((((LARGE(I24:K24,1)+LARGE(I24:K24,2)+L24)/3)+M24+N24), 0.5), 10), 0)</f>
        <v/>
      </c>
      <c r="V24">
        <f>IFERROR(MIN(MROUND((((LARGE(P24:R24,1)+LARGE(P24:R24,2)+S24)/3)+T24+U24), 0.5), 10), 0)</f>
        <v/>
      </c>
      <c r="AC24">
        <f>IFERROR(MIN(MROUND((((LARGE(W24:Y24,1)+LARGE(W24:Y24,2)+Z24)/3)+AA24+AB24), 0.5), 10), 0)</f>
        <v/>
      </c>
      <c r="AD24">
        <f>MROUND(IF(O24=0,H24,IF(V24=0,AVERAGE(H24,O24),IF(AC24=0,AVERAGE(H24,O24,V24),AVERAGE(H24,O24,V24,AC24)))), 0.5)</f>
        <v/>
      </c>
      <c r="AE24">
        <f>IF(AD24&gt;=6,"Aprovado","Exame")</f>
        <v/>
      </c>
    </row>
    <row r="25">
      <c r="A25" t="inlineStr">
        <is>
          <t>MARESSA EDUARDA DE SOUZA ZANIN</t>
        </is>
      </c>
      <c r="H25">
        <f>IFERROR(MIN(MROUND((((LARGE(B25:D25,1)+LARGE(B25:D25,2)+E25)/3)+F25+G25), 0.5), 10), 0)</f>
        <v/>
      </c>
      <c r="O25">
        <f>IFERROR(MIN(MROUND((((LARGE(I25:K25,1)+LARGE(I25:K25,2)+L25)/3)+M25+N25), 0.5), 10), 0)</f>
        <v/>
      </c>
      <c r="V25">
        <f>IFERROR(MIN(MROUND((((LARGE(P25:R25,1)+LARGE(P25:R25,2)+S25)/3)+T25+U25), 0.5), 10), 0)</f>
        <v/>
      </c>
      <c r="AC25">
        <f>IFERROR(MIN(MROUND((((LARGE(W25:Y25,1)+LARGE(W25:Y25,2)+Z25)/3)+AA25+AB25), 0.5), 10), 0)</f>
        <v/>
      </c>
      <c r="AD25">
        <f>MROUND(IF(O25=0,H25,IF(V25=0,AVERAGE(H25,O25),IF(AC25=0,AVERAGE(H25,O25,V25),AVERAGE(H25,O25,V25,AC25)))), 0.5)</f>
        <v/>
      </c>
      <c r="AE25">
        <f>IF(AD25&gt;=6,"Aprovado","Exame")</f>
        <v/>
      </c>
    </row>
    <row r="26">
      <c r="A26" t="inlineStr">
        <is>
          <t>MARIA FERNANDA BARBOSA FONTOURA</t>
        </is>
      </c>
      <c r="H26">
        <f>IFERROR(MIN(MROUND((((LARGE(B26:D26,1)+LARGE(B26:D26,2)+E26)/3)+F26+G26), 0.5), 10), 0)</f>
        <v/>
      </c>
      <c r="O26">
        <f>IFERROR(MIN(MROUND((((LARGE(I26:K26,1)+LARGE(I26:K26,2)+L26)/3)+M26+N26), 0.5), 10), 0)</f>
        <v/>
      </c>
      <c r="V26">
        <f>IFERROR(MIN(MROUND((((LARGE(P26:R26,1)+LARGE(P26:R26,2)+S26)/3)+T26+U26), 0.5), 10), 0)</f>
        <v/>
      </c>
      <c r="AC26">
        <f>IFERROR(MIN(MROUND((((LARGE(W26:Y26,1)+LARGE(W26:Y26,2)+Z26)/3)+AA26+AB26), 0.5), 10), 0)</f>
        <v/>
      </c>
      <c r="AD26">
        <f>MROUND(IF(O26=0,H26,IF(V26=0,AVERAGE(H26,O26),IF(AC26=0,AVERAGE(H26,O26,V26),AVERAGE(H26,O26,V26,AC26)))), 0.5)</f>
        <v/>
      </c>
      <c r="AE26">
        <f>IF(AD26&gt;=6,"Aprovado","Exame")</f>
        <v/>
      </c>
    </row>
    <row r="27">
      <c r="A27" t="inlineStr">
        <is>
          <t>MARIA LUIZA ELISEI BERNARDO</t>
        </is>
      </c>
      <c r="H27">
        <f>IFERROR(MIN(MROUND((((LARGE(B27:D27,1)+LARGE(B27:D27,2)+E27)/3)+F27+G27), 0.5), 10), 0)</f>
        <v/>
      </c>
      <c r="O27">
        <f>IFERROR(MIN(MROUND((((LARGE(I27:K27,1)+LARGE(I27:K27,2)+L27)/3)+M27+N27), 0.5), 10), 0)</f>
        <v/>
      </c>
      <c r="V27">
        <f>IFERROR(MIN(MROUND((((LARGE(P27:R27,1)+LARGE(P27:R27,2)+S27)/3)+T27+U27), 0.5), 10), 0)</f>
        <v/>
      </c>
      <c r="AC27">
        <f>IFERROR(MIN(MROUND((((LARGE(W27:Y27,1)+LARGE(W27:Y27,2)+Z27)/3)+AA27+AB27), 0.5), 10), 0)</f>
        <v/>
      </c>
      <c r="AD27">
        <f>MROUND(IF(O27=0,H27,IF(V27=0,AVERAGE(H27,O27),IF(AC27=0,AVERAGE(H27,O27,V27),AVERAGE(H27,O27,V27,AC27)))), 0.5)</f>
        <v/>
      </c>
      <c r="AE27">
        <f>IF(AD27&gt;=6,"Aprovado","Exame")</f>
        <v/>
      </c>
    </row>
    <row r="28">
      <c r="A28" t="inlineStr">
        <is>
          <t>MAYARA BARBOSA MENDES</t>
        </is>
      </c>
      <c r="H28">
        <f>IFERROR(MIN(MROUND((((LARGE(B28:D28,1)+LARGE(B28:D28,2)+E28)/3)+F28+G28), 0.5), 10), 0)</f>
        <v/>
      </c>
      <c r="O28">
        <f>IFERROR(MIN(MROUND((((LARGE(I28:K28,1)+LARGE(I28:K28,2)+L28)/3)+M28+N28), 0.5), 10), 0)</f>
        <v/>
      </c>
      <c r="V28">
        <f>IFERROR(MIN(MROUND((((LARGE(P28:R28,1)+LARGE(P28:R28,2)+S28)/3)+T28+U28), 0.5), 10), 0)</f>
        <v/>
      </c>
      <c r="AC28">
        <f>IFERROR(MIN(MROUND((((LARGE(W28:Y28,1)+LARGE(W28:Y28,2)+Z28)/3)+AA28+AB28), 0.5), 10), 0)</f>
        <v/>
      </c>
      <c r="AD28">
        <f>MROUND(IF(O28=0,H28,IF(V28=0,AVERAGE(H28,O28),IF(AC28=0,AVERAGE(H28,O28,V28),AVERAGE(H28,O28,V28,AC28)))), 0.5)</f>
        <v/>
      </c>
      <c r="AE28">
        <f>IF(AD28&gt;=6,"Aprovado","Exame")</f>
        <v/>
      </c>
    </row>
    <row r="29">
      <c r="A29" t="inlineStr">
        <is>
          <t>NICKOLAS DE SOUZA GAUNA</t>
        </is>
      </c>
      <c r="H29">
        <f>IFERROR(MIN(MROUND((((LARGE(B29:D29,1)+LARGE(B29:D29,2)+E29)/3)+F29+G29), 0.5), 10), 0)</f>
        <v/>
      </c>
      <c r="O29">
        <f>IFERROR(MIN(MROUND((((LARGE(I29:K29,1)+LARGE(I29:K29,2)+L29)/3)+M29+N29), 0.5), 10), 0)</f>
        <v/>
      </c>
      <c r="V29">
        <f>IFERROR(MIN(MROUND((((LARGE(P29:R29,1)+LARGE(P29:R29,2)+S29)/3)+T29+U29), 0.5), 10), 0)</f>
        <v/>
      </c>
      <c r="AC29">
        <f>IFERROR(MIN(MROUND((((LARGE(W29:Y29,1)+LARGE(W29:Y29,2)+Z29)/3)+AA29+AB29), 0.5), 10), 0)</f>
        <v/>
      </c>
      <c r="AD29">
        <f>MROUND(IF(O29=0,H29,IF(V29=0,AVERAGE(H29,O29),IF(AC29=0,AVERAGE(H29,O29,V29),AVERAGE(H29,O29,V29,AC29)))), 0.5)</f>
        <v/>
      </c>
      <c r="AE29">
        <f>IF(AD29&gt;=6,"Aprovado","Exame")</f>
        <v/>
      </c>
    </row>
    <row r="30">
      <c r="A30" t="inlineStr">
        <is>
          <t>RAFAELA DAMAZIO ORTEGA MARINO</t>
        </is>
      </c>
      <c r="H30">
        <f>IFERROR(MIN(MROUND((((LARGE(B30:D30,1)+LARGE(B30:D30,2)+E30)/3)+F30+G30), 0.5), 10), 0)</f>
        <v/>
      </c>
      <c r="O30">
        <f>IFERROR(MIN(MROUND((((LARGE(I30:K30,1)+LARGE(I30:K30,2)+L30)/3)+M30+N30), 0.5), 10), 0)</f>
        <v/>
      </c>
      <c r="V30">
        <f>IFERROR(MIN(MROUND((((LARGE(P30:R30,1)+LARGE(P30:R30,2)+S30)/3)+T30+U30), 0.5), 10), 0)</f>
        <v/>
      </c>
      <c r="AC30">
        <f>IFERROR(MIN(MROUND((((LARGE(W30:Y30,1)+LARGE(W30:Y30,2)+Z30)/3)+AA30+AB30), 0.5), 10), 0)</f>
        <v/>
      </c>
      <c r="AD30">
        <f>MROUND(IF(O30=0,H30,IF(V30=0,AVERAGE(H30,O30),IF(AC30=0,AVERAGE(H30,O30,V30),AVERAGE(H30,O30,V30,AC30)))), 0.5)</f>
        <v/>
      </c>
      <c r="AE30">
        <f>IF(AD30&gt;=6,"Aprovado","Exame")</f>
        <v/>
      </c>
    </row>
    <row r="31">
      <c r="A31" t="inlineStr">
        <is>
          <t>RAIKE PAES FERNANDES DE FREITAS</t>
        </is>
      </c>
      <c r="H31">
        <f>IFERROR(MIN(MROUND((((LARGE(B31:D31,1)+LARGE(B31:D31,2)+E31)/3)+F31+G31), 0.5), 10), 0)</f>
        <v/>
      </c>
      <c r="O31">
        <f>IFERROR(MIN(MROUND((((LARGE(I31:K31,1)+LARGE(I31:K31,2)+L31)/3)+M31+N31), 0.5), 10), 0)</f>
        <v/>
      </c>
      <c r="V31">
        <f>IFERROR(MIN(MROUND((((LARGE(P31:R31,1)+LARGE(P31:R31,2)+S31)/3)+T31+U31), 0.5), 10), 0)</f>
        <v/>
      </c>
      <c r="AC31">
        <f>IFERROR(MIN(MROUND((((LARGE(W31:Y31,1)+LARGE(W31:Y31,2)+Z31)/3)+AA31+AB31), 0.5), 10), 0)</f>
        <v/>
      </c>
      <c r="AD31">
        <f>MROUND(IF(O31=0,H31,IF(V31=0,AVERAGE(H31,O31),IF(AC31=0,AVERAGE(H31,O31,V31),AVERAGE(H31,O31,V31,AC31)))), 0.5)</f>
        <v/>
      </c>
      <c r="AE31">
        <f>IF(AD31&gt;=6,"Aprovado","Exame")</f>
        <v/>
      </c>
    </row>
    <row r="32">
      <c r="A32" t="inlineStr">
        <is>
          <t>RAPHAELA BEZERRA NUNES</t>
        </is>
      </c>
      <c r="H32">
        <f>IFERROR(MIN(MROUND((((LARGE(B32:D32,1)+LARGE(B32:D32,2)+E32)/3)+F32+G32), 0.5), 10), 0)</f>
        <v/>
      </c>
      <c r="O32">
        <f>IFERROR(MIN(MROUND((((LARGE(I32:K32,1)+LARGE(I32:K32,2)+L32)/3)+M32+N32), 0.5), 10), 0)</f>
        <v/>
      </c>
      <c r="V32">
        <f>IFERROR(MIN(MROUND((((LARGE(P32:R32,1)+LARGE(P32:R32,2)+S32)/3)+T32+U32), 0.5), 10), 0)</f>
        <v/>
      </c>
      <c r="AC32">
        <f>IFERROR(MIN(MROUND((((LARGE(W32:Y32,1)+LARGE(W32:Y32,2)+Z32)/3)+AA32+AB32), 0.5), 10), 0)</f>
        <v/>
      </c>
      <c r="AD32">
        <f>MROUND(IF(O32=0,H32,IF(V32=0,AVERAGE(H32,O32),IF(AC32=0,AVERAGE(H32,O32,V32),AVERAGE(H32,O32,V32,AC32)))), 0.5)</f>
        <v/>
      </c>
      <c r="AE32">
        <f>IF(AD32&gt;=6,"Aprovado","Exame")</f>
        <v/>
      </c>
    </row>
    <row r="33">
      <c r="A33" t="inlineStr">
        <is>
          <t>SAMIR DA SILVA CARDENA</t>
        </is>
      </c>
      <c r="H33">
        <f>IFERROR(MIN(MROUND((((LARGE(B33:D33,1)+LARGE(B33:D33,2)+E33)/3)+F33+G33), 0.5), 10), 0)</f>
        <v/>
      </c>
      <c r="O33">
        <f>IFERROR(MIN(MROUND((((LARGE(I33:K33,1)+LARGE(I33:K33,2)+L33)/3)+M33+N33), 0.5), 10), 0)</f>
        <v/>
      </c>
      <c r="V33">
        <f>IFERROR(MIN(MROUND((((LARGE(P33:R33,1)+LARGE(P33:R33,2)+S33)/3)+T33+U33), 0.5), 10), 0)</f>
        <v/>
      </c>
      <c r="AC33">
        <f>IFERROR(MIN(MROUND((((LARGE(W33:Y33,1)+LARGE(W33:Y33,2)+Z33)/3)+AA33+AB33), 0.5), 10), 0)</f>
        <v/>
      </c>
      <c r="AD33">
        <f>MROUND(IF(O33=0,H33,IF(V33=0,AVERAGE(H33,O33),IF(AC33=0,AVERAGE(H33,O33,V33),AVERAGE(H33,O33,V33,AC33)))), 0.5)</f>
        <v/>
      </c>
      <c r="AE33">
        <f>IF(AD33&gt;=6,"Aprovado","Exame")</f>
        <v/>
      </c>
    </row>
    <row r="34">
      <c r="A34" t="inlineStr">
        <is>
          <t>SOFIA MONTEIRO DE FREITAS</t>
        </is>
      </c>
      <c r="H34">
        <f>IFERROR(MIN(MROUND((((LARGE(B34:D34,1)+LARGE(B34:D34,2)+E34)/3)+F34+G34), 0.5), 10), 0)</f>
        <v/>
      </c>
      <c r="O34">
        <f>IFERROR(MIN(MROUND((((LARGE(I34:K34,1)+LARGE(I34:K34,2)+L34)/3)+M34+N34), 0.5), 10), 0)</f>
        <v/>
      </c>
      <c r="V34">
        <f>IFERROR(MIN(MROUND((((LARGE(P34:R34,1)+LARGE(P34:R34,2)+S34)/3)+T34+U34), 0.5), 10), 0)</f>
        <v/>
      </c>
      <c r="AC34">
        <f>IFERROR(MIN(MROUND((((LARGE(W34:Y34,1)+LARGE(W34:Y34,2)+Z34)/3)+AA34+AB34), 0.5), 10), 0)</f>
        <v/>
      </c>
      <c r="AD34">
        <f>MROUND(IF(O34=0,H34,IF(V34=0,AVERAGE(H34,O34),IF(AC34=0,AVERAGE(H34,O34,V34),AVERAGE(H34,O34,V34,AC34)))), 0.5)</f>
        <v/>
      </c>
      <c r="AE34">
        <f>IF(AD34&gt;=6,"Aprovado","Exame")</f>
        <v/>
      </c>
    </row>
    <row r="35">
      <c r="A35" t="inlineStr">
        <is>
          <t>VITOR LOPES SGOBBI MOREIRA</t>
        </is>
      </c>
      <c r="H35">
        <f>IFERROR(MIN(MROUND((((LARGE(B35:D35,1)+LARGE(B35:D35,2)+E35)/3)+F35+G35), 0.5), 10), 0)</f>
        <v/>
      </c>
      <c r="O35">
        <f>IFERROR(MIN(MROUND((((LARGE(I35:K35,1)+LARGE(I35:K35,2)+L35)/3)+M35+N35), 0.5), 10), 0)</f>
        <v/>
      </c>
      <c r="V35">
        <f>IFERROR(MIN(MROUND((((LARGE(P35:R35,1)+LARGE(P35:R35,2)+S35)/3)+T35+U35), 0.5), 10), 0)</f>
        <v/>
      </c>
      <c r="AC35">
        <f>IFERROR(MIN(MROUND((((LARGE(W35:Y35,1)+LARGE(W35:Y35,2)+Z35)/3)+AA35+AB35), 0.5), 10), 0)</f>
        <v/>
      </c>
      <c r="AD35">
        <f>MROUND(IF(O35=0,H35,IF(V35=0,AVERAGE(H35,O35),IF(AC35=0,AVERAGE(H35,O35,V35),AVERAGE(H35,O35,V35,AC35)))), 0.5)</f>
        <v/>
      </c>
      <c r="AE35">
        <f>IF(AD35&gt;=6,"Aprovado","Exame")</f>
        <v/>
      </c>
    </row>
    <row r="36">
      <c r="A36" t="inlineStr">
        <is>
          <t>WALLENTINA DANIELA BATALHA SANT'ANA</t>
        </is>
      </c>
      <c r="H36">
        <f>IFERROR(MIN(MROUND((((LARGE(B36:D36,1)+LARGE(B36:D36,2)+E36)/3)+F36+G36), 0.5), 10), 0)</f>
        <v/>
      </c>
      <c r="O36">
        <f>IFERROR(MIN(MROUND((((LARGE(I36:K36,1)+LARGE(I36:K36,2)+L36)/3)+M36+N36), 0.5), 10), 0)</f>
        <v/>
      </c>
      <c r="V36">
        <f>IFERROR(MIN(MROUND((((LARGE(P36:R36,1)+LARGE(P36:R36,2)+S36)/3)+T36+U36), 0.5), 10), 0)</f>
        <v/>
      </c>
      <c r="AC36">
        <f>IFERROR(MIN(MROUND((((LARGE(W36:Y36,1)+LARGE(W36:Y36,2)+Z36)/3)+AA36+AB36), 0.5), 10), 0)</f>
        <v/>
      </c>
      <c r="AD36">
        <f>MROUND(IF(O36=0,H36,IF(V36=0,AVERAGE(H36,O36),IF(AC36=0,AVERAGE(H36,O36,V36),AVERAGE(H36,O36,V36,AC36)))), 0.5)</f>
        <v/>
      </c>
      <c r="AE36">
        <f>IF(AD36&gt;=6,"Aprovado","Exame")</f>
        <v/>
      </c>
    </row>
    <row r="37">
      <c r="A37" t="inlineStr">
        <is>
          <t>YOHAN VICTOR FRANCHINI RAMOS</t>
        </is>
      </c>
      <c r="H37">
        <f>IFERROR(MIN(MROUND((((LARGE(B37:D37,1)+LARGE(B37:D37,2)+E37)/3)+F37+G37), 0.5), 10), 0)</f>
        <v/>
      </c>
      <c r="O37">
        <f>IFERROR(MIN(MROUND((((LARGE(I37:K37,1)+LARGE(I37:K37,2)+L37)/3)+M37+N37), 0.5), 10), 0)</f>
        <v/>
      </c>
      <c r="V37">
        <f>IFERROR(MIN(MROUND((((LARGE(P37:R37,1)+LARGE(P37:R37,2)+S37)/3)+T37+U37), 0.5), 10), 0)</f>
        <v/>
      </c>
      <c r="AC37">
        <f>IFERROR(MIN(MROUND((((LARGE(W37:Y37,1)+LARGE(W37:Y37,2)+Z37)/3)+AA37+AB37), 0.5), 10), 0)</f>
        <v/>
      </c>
      <c r="AD37">
        <f>MROUND(IF(O37=0,H37,IF(V37=0,AVERAGE(H37,O37),IF(AC37=0,AVERAGE(H37,O37,V37),AVERAGE(H37,O37,V37,AC37)))), 0.5)</f>
        <v/>
      </c>
      <c r="AE37">
        <f>IF(AD37&gt;=6,"Aprovado","Exame")</f>
        <v/>
      </c>
    </row>
    <row r="38">
      <c r="A38" t="inlineStr">
        <is>
          <t>MARIA ISABELA ARAUJO GONÇALVES RUIZ</t>
        </is>
      </c>
      <c r="H38">
        <f>IFERROR(MIN(MROUND((((LARGE(B38:D38,1)+LARGE(B38:D38,2)+E38)/3)+F38+G38), 0.5), 10), 0)</f>
        <v/>
      </c>
      <c r="O38">
        <f>IFERROR(MIN(MROUND((((LARGE(I38:K38,1)+LARGE(I38:K38,2)+L38)/3)+M38+N38), 0.5), 10), 0)</f>
        <v/>
      </c>
      <c r="V38">
        <f>IFERROR(MIN(MROUND((((LARGE(P38:R38,1)+LARGE(P38:R38,2)+S38)/3)+T38+U38), 0.5), 10), 0)</f>
        <v/>
      </c>
      <c r="AC38">
        <f>IFERROR(MIN(MROUND((((LARGE(W38:Y38,1)+LARGE(W38:Y38,2)+Z38)/3)+AA38+AB38), 0.5), 10), 0)</f>
        <v/>
      </c>
      <c r="AD38">
        <f>MROUND(IF(O38=0,H38,IF(V38=0,AVERAGE(H38,O38),IF(AC38=0,AVERAGE(H38,O38,V38),AVERAGE(H38,O38,V38,AC38)))), 0.5)</f>
        <v/>
      </c>
      <c r="AE38">
        <f>IF(AD38&gt;=6,"Aprovado","Exame")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N1_B1</t>
        </is>
      </c>
      <c r="C1" t="inlineStr">
        <is>
          <t>N2_B1</t>
        </is>
      </c>
      <c r="D1" t="inlineStr">
        <is>
          <t>N3_B1</t>
        </is>
      </c>
      <c r="E1" t="inlineStr">
        <is>
          <t>N4_B1</t>
        </is>
      </c>
      <c r="F1" t="inlineStr">
        <is>
          <t>Atv1_B1</t>
        </is>
      </c>
      <c r="G1" t="inlineStr">
        <is>
          <t>Atv2_B1</t>
        </is>
      </c>
      <c r="H1" t="inlineStr">
        <is>
          <t>Media_B1</t>
        </is>
      </c>
      <c r="I1" t="inlineStr">
        <is>
          <t>N1_B2</t>
        </is>
      </c>
      <c r="J1" t="inlineStr">
        <is>
          <t>N2_B2</t>
        </is>
      </c>
      <c r="K1" t="inlineStr">
        <is>
          <t>N3_B2</t>
        </is>
      </c>
      <c r="L1" t="inlineStr">
        <is>
          <t>N4_B2</t>
        </is>
      </c>
      <c r="M1" t="inlineStr">
        <is>
          <t>Atv1_B2</t>
        </is>
      </c>
      <c r="N1" t="inlineStr">
        <is>
          <t>Atv2_B2</t>
        </is>
      </c>
      <c r="O1" t="inlineStr">
        <is>
          <t>Media_B2</t>
        </is>
      </c>
      <c r="P1" t="inlineStr">
        <is>
          <t>N1_B3</t>
        </is>
      </c>
      <c r="Q1" t="inlineStr">
        <is>
          <t>N2_B3</t>
        </is>
      </c>
      <c r="R1" t="inlineStr">
        <is>
          <t>N3_B3</t>
        </is>
      </c>
      <c r="S1" t="inlineStr">
        <is>
          <t>N4_B3</t>
        </is>
      </c>
      <c r="T1" t="inlineStr">
        <is>
          <t>Atv1_B3</t>
        </is>
      </c>
      <c r="U1" t="inlineStr">
        <is>
          <t>Atv2_B3</t>
        </is>
      </c>
      <c r="V1" t="inlineStr">
        <is>
          <t>Media_B3</t>
        </is>
      </c>
      <c r="W1" t="inlineStr">
        <is>
          <t>N1_B4</t>
        </is>
      </c>
      <c r="X1" t="inlineStr">
        <is>
          <t>N2_B4</t>
        </is>
      </c>
      <c r="Y1" t="inlineStr">
        <is>
          <t>N3_B4</t>
        </is>
      </c>
      <c r="Z1" t="inlineStr">
        <is>
          <t>N4_B4</t>
        </is>
      </c>
      <c r="AA1" t="inlineStr">
        <is>
          <t>Atv1_B4</t>
        </is>
      </c>
      <c r="AB1" t="inlineStr">
        <is>
          <t>Atv2_B4</t>
        </is>
      </c>
      <c r="AC1" t="inlineStr">
        <is>
          <t>Media_B4</t>
        </is>
      </c>
      <c r="AD1" t="inlineStr">
        <is>
          <t>Media_Anual</t>
        </is>
      </c>
      <c r="AE1" t="inlineStr">
        <is>
          <t>Status</t>
        </is>
      </c>
    </row>
    <row r="2">
      <c r="A2" t="inlineStr">
        <is>
          <t>ANA CAROLINA BRITO DA SILVA</t>
        </is>
      </c>
      <c r="H2">
        <f>IFERROR(MIN(MROUND((((LARGE(B2:D2,1)+LARGE(B2:D2,2)+E2)/3)+F2+G2), 0.5), 10), 0)</f>
        <v/>
      </c>
      <c r="O2">
        <f>IFERROR(MIN(MROUND((((LARGE(I2:K2,1)+LARGE(I2:K2,2)+L2)/3)+M2+N2), 0.5), 10), 0)</f>
        <v/>
      </c>
      <c r="V2">
        <f>IFERROR(MIN(MROUND((((LARGE(P2:R2,1)+LARGE(P2:R2,2)+S2)/3)+T2+U2), 0.5), 10), 0)</f>
        <v/>
      </c>
      <c r="AC2">
        <f>IFERROR(MIN(MROUND((((LARGE(W2:Y2,1)+LARGE(W2:Y2,2)+Z2)/3)+AA2+AB2), 0.5), 10), 0)</f>
        <v/>
      </c>
      <c r="AD2">
        <f>MROUND(IF(O2=0,H2,IF(V2=0,AVERAGE(H2,O2),IF(AC2=0,AVERAGE(H2,O2,V2),AVERAGE(H2,O2,V2,AC2)))), 0.5)</f>
        <v/>
      </c>
      <c r="AE2">
        <f>IF(AD2&gt;=6,"Aprovado","Exame")</f>
        <v/>
      </c>
    </row>
    <row r="3">
      <c r="A3" t="inlineStr">
        <is>
          <t>ANA KAROLYNA ALMADA COIMBRA</t>
        </is>
      </c>
      <c r="H3">
        <f>IFERROR(MIN(MROUND((((LARGE(B3:D3,1)+LARGE(B3:D3,2)+E3)/3)+F3+G3), 0.5), 10), 0)</f>
        <v/>
      </c>
      <c r="O3">
        <f>IFERROR(MIN(MROUND((((LARGE(I3:K3,1)+LARGE(I3:K3,2)+L3)/3)+M3+N3), 0.5), 10), 0)</f>
        <v/>
      </c>
      <c r="V3">
        <f>IFERROR(MIN(MROUND((((LARGE(P3:R3,1)+LARGE(P3:R3,2)+S3)/3)+T3+U3), 0.5), 10), 0)</f>
        <v/>
      </c>
      <c r="AC3">
        <f>IFERROR(MIN(MROUND((((LARGE(W3:Y3,1)+LARGE(W3:Y3,2)+Z3)/3)+AA3+AB3), 0.5), 10), 0)</f>
        <v/>
      </c>
      <c r="AD3">
        <f>MROUND(IF(O3=0,H3,IF(V3=0,AVERAGE(H3,O3),IF(AC3=0,AVERAGE(H3,O3,V3),AVERAGE(H3,O3,V3,AC3)))), 0.5)</f>
        <v/>
      </c>
      <c r="AE3">
        <f>IF(AD3&gt;=6,"Aprovado","Exame")</f>
        <v/>
      </c>
    </row>
    <row r="4">
      <c r="A4" t="inlineStr">
        <is>
          <t>ANA LUIZA RODRIGUES SANDIM</t>
        </is>
      </c>
      <c r="H4">
        <f>IFERROR(MIN(MROUND((((LARGE(B4:D4,1)+LARGE(B4:D4,2)+E4)/3)+F4+G4), 0.5), 10), 0)</f>
        <v/>
      </c>
      <c r="O4">
        <f>IFERROR(MIN(MROUND((((LARGE(I4:K4,1)+LARGE(I4:K4,2)+L4)/3)+M4+N4), 0.5), 10), 0)</f>
        <v/>
      </c>
      <c r="V4">
        <f>IFERROR(MIN(MROUND((((LARGE(P4:R4,1)+LARGE(P4:R4,2)+S4)/3)+T4+U4), 0.5), 10), 0)</f>
        <v/>
      </c>
      <c r="AC4">
        <f>IFERROR(MIN(MROUND((((LARGE(W4:Y4,1)+LARGE(W4:Y4,2)+Z4)/3)+AA4+AB4), 0.5), 10), 0)</f>
        <v/>
      </c>
      <c r="AD4">
        <f>MROUND(IF(O4=0,H4,IF(V4=0,AVERAGE(H4,O4),IF(AC4=0,AVERAGE(H4,O4,V4),AVERAGE(H4,O4,V4,AC4)))), 0.5)</f>
        <v/>
      </c>
      <c r="AE4">
        <f>IF(AD4&gt;=6,"Aprovado","Exame")</f>
        <v/>
      </c>
    </row>
    <row r="5">
      <c r="A5" t="inlineStr">
        <is>
          <t>ANGELINA SOUZA LIMA</t>
        </is>
      </c>
      <c r="H5">
        <f>IFERROR(MIN(MROUND((((LARGE(B5:D5,1)+LARGE(B5:D5,2)+E5)/3)+F5+G5), 0.5), 10), 0)</f>
        <v/>
      </c>
      <c r="O5">
        <f>IFERROR(MIN(MROUND((((LARGE(I5:K5,1)+LARGE(I5:K5,2)+L5)/3)+M5+N5), 0.5), 10), 0)</f>
        <v/>
      </c>
      <c r="V5">
        <f>IFERROR(MIN(MROUND((((LARGE(P5:R5,1)+LARGE(P5:R5,2)+S5)/3)+T5+U5), 0.5), 10), 0)</f>
        <v/>
      </c>
      <c r="AC5">
        <f>IFERROR(MIN(MROUND((((LARGE(W5:Y5,1)+LARGE(W5:Y5,2)+Z5)/3)+AA5+AB5), 0.5), 10), 0)</f>
        <v/>
      </c>
      <c r="AD5">
        <f>MROUND(IF(O5=0,H5,IF(V5=0,AVERAGE(H5,O5),IF(AC5=0,AVERAGE(H5,O5,V5),AVERAGE(H5,O5,V5,AC5)))), 0.5)</f>
        <v/>
      </c>
      <c r="AE5">
        <f>IF(AD5&gt;=6,"Aprovado","Exame")</f>
        <v/>
      </c>
    </row>
    <row r="6">
      <c r="A6" t="inlineStr">
        <is>
          <t>BEATRIZ RODA SCARIOT</t>
        </is>
      </c>
      <c r="H6">
        <f>IFERROR(MIN(MROUND((((LARGE(B6:D6,1)+LARGE(B6:D6,2)+E6)/3)+F6+G6), 0.5), 10), 0)</f>
        <v/>
      </c>
      <c r="O6">
        <f>IFERROR(MIN(MROUND((((LARGE(I6:K6,1)+LARGE(I6:K6,2)+L6)/3)+M6+N6), 0.5), 10), 0)</f>
        <v/>
      </c>
      <c r="V6">
        <f>IFERROR(MIN(MROUND((((LARGE(P6:R6,1)+LARGE(P6:R6,2)+S6)/3)+T6+U6), 0.5), 10), 0)</f>
        <v/>
      </c>
      <c r="AC6">
        <f>IFERROR(MIN(MROUND((((LARGE(W6:Y6,1)+LARGE(W6:Y6,2)+Z6)/3)+AA6+AB6), 0.5), 10), 0)</f>
        <v/>
      </c>
      <c r="AD6">
        <f>MROUND(IF(O6=0,H6,IF(V6=0,AVERAGE(H6,O6),IF(AC6=0,AVERAGE(H6,O6,V6),AVERAGE(H6,O6,V6,AC6)))), 0.5)</f>
        <v/>
      </c>
      <c r="AE6">
        <f>IF(AD6&gt;=6,"Aprovado","Exame")</f>
        <v/>
      </c>
    </row>
    <row r="7">
      <c r="A7" t="inlineStr">
        <is>
          <t>BIANCA DE OLIVEIRA PROENÇA</t>
        </is>
      </c>
      <c r="H7">
        <f>IFERROR(MIN(MROUND((((LARGE(B7:D7,1)+LARGE(B7:D7,2)+E7)/3)+F7+G7), 0.5), 10), 0)</f>
        <v/>
      </c>
      <c r="O7">
        <f>IFERROR(MIN(MROUND((((LARGE(I7:K7,1)+LARGE(I7:K7,2)+L7)/3)+M7+N7), 0.5), 10), 0)</f>
        <v/>
      </c>
      <c r="V7">
        <f>IFERROR(MIN(MROUND((((LARGE(P7:R7,1)+LARGE(P7:R7,2)+S7)/3)+T7+U7), 0.5), 10), 0)</f>
        <v/>
      </c>
      <c r="AC7">
        <f>IFERROR(MIN(MROUND((((LARGE(W7:Y7,1)+LARGE(W7:Y7,2)+Z7)/3)+AA7+AB7), 0.5), 10), 0)</f>
        <v/>
      </c>
      <c r="AD7">
        <f>MROUND(IF(O7=0,H7,IF(V7=0,AVERAGE(H7,O7),IF(AC7=0,AVERAGE(H7,O7,V7),AVERAGE(H7,O7,V7,AC7)))), 0.5)</f>
        <v/>
      </c>
      <c r="AE7">
        <f>IF(AD7&gt;=6,"Aprovado","Exame")</f>
        <v/>
      </c>
    </row>
    <row r="8">
      <c r="A8" t="inlineStr">
        <is>
          <t>BRYAN FELIPE MENDES SANTOS SILVA</t>
        </is>
      </c>
      <c r="H8">
        <f>IFERROR(MIN(MROUND((((LARGE(B8:D8,1)+LARGE(B8:D8,2)+E8)/3)+F8+G8), 0.5), 10), 0)</f>
        <v/>
      </c>
      <c r="O8">
        <f>IFERROR(MIN(MROUND((((LARGE(I8:K8,1)+LARGE(I8:K8,2)+L8)/3)+M8+N8), 0.5), 10), 0)</f>
        <v/>
      </c>
      <c r="V8">
        <f>IFERROR(MIN(MROUND((((LARGE(P8:R8,1)+LARGE(P8:R8,2)+S8)/3)+T8+U8), 0.5), 10), 0)</f>
        <v/>
      </c>
      <c r="AC8">
        <f>IFERROR(MIN(MROUND((((LARGE(W8:Y8,1)+LARGE(W8:Y8,2)+Z8)/3)+AA8+AB8), 0.5), 10), 0)</f>
        <v/>
      </c>
      <c r="AD8">
        <f>MROUND(IF(O8=0,H8,IF(V8=0,AVERAGE(H8,O8),IF(AC8=0,AVERAGE(H8,O8,V8),AVERAGE(H8,O8,V8,AC8)))), 0.5)</f>
        <v/>
      </c>
      <c r="AE8">
        <f>IF(AD8&gt;=6,"Aprovado","Exame")</f>
        <v/>
      </c>
    </row>
    <row r="9">
      <c r="A9" t="inlineStr">
        <is>
          <t>CARLOS EDUARDO HEISLER RODRIGUES</t>
        </is>
      </c>
      <c r="H9">
        <f>IFERROR(MIN(MROUND((((LARGE(B9:D9,1)+LARGE(B9:D9,2)+E9)/3)+F9+G9), 0.5), 10), 0)</f>
        <v/>
      </c>
      <c r="O9">
        <f>IFERROR(MIN(MROUND((((LARGE(I9:K9,1)+LARGE(I9:K9,2)+L9)/3)+M9+N9), 0.5), 10), 0)</f>
        <v/>
      </c>
      <c r="V9">
        <f>IFERROR(MIN(MROUND((((LARGE(P9:R9,1)+LARGE(P9:R9,2)+S9)/3)+T9+U9), 0.5), 10), 0)</f>
        <v/>
      </c>
      <c r="AC9">
        <f>IFERROR(MIN(MROUND((((LARGE(W9:Y9,1)+LARGE(W9:Y9,2)+Z9)/3)+AA9+AB9), 0.5), 10), 0)</f>
        <v/>
      </c>
      <c r="AD9">
        <f>MROUND(IF(O9=0,H9,IF(V9=0,AVERAGE(H9,O9),IF(AC9=0,AVERAGE(H9,O9,V9),AVERAGE(H9,O9,V9,AC9)))), 0.5)</f>
        <v/>
      </c>
      <c r="AE9">
        <f>IF(AD9&gt;=6,"Aprovado","Exame")</f>
        <v/>
      </c>
    </row>
    <row r="10">
      <c r="A10" t="inlineStr">
        <is>
          <t>DANIEL FELIX AUDI</t>
        </is>
      </c>
      <c r="H10">
        <f>IFERROR(MIN(MROUND((((LARGE(B10:D10,1)+LARGE(B10:D10,2)+E10)/3)+F10+G10), 0.5), 10), 0)</f>
        <v/>
      </c>
      <c r="O10">
        <f>IFERROR(MIN(MROUND((((LARGE(I10:K10,1)+LARGE(I10:K10,2)+L10)/3)+M10+N10), 0.5), 10), 0)</f>
        <v/>
      </c>
      <c r="V10">
        <f>IFERROR(MIN(MROUND((((LARGE(P10:R10,1)+LARGE(P10:R10,2)+S10)/3)+T10+U10), 0.5), 10), 0)</f>
        <v/>
      </c>
      <c r="AC10">
        <f>IFERROR(MIN(MROUND((((LARGE(W10:Y10,1)+LARGE(W10:Y10,2)+Z10)/3)+AA10+AB10), 0.5), 10), 0)</f>
        <v/>
      </c>
      <c r="AD10">
        <f>MROUND(IF(O10=0,H10,IF(V10=0,AVERAGE(H10,O10),IF(AC10=0,AVERAGE(H10,O10,V10),AVERAGE(H10,O10,V10,AC10)))), 0.5)</f>
        <v/>
      </c>
      <c r="AE10">
        <f>IF(AD10&gt;=6,"Aprovado","Exame")</f>
        <v/>
      </c>
    </row>
    <row r="11">
      <c r="A11" t="inlineStr">
        <is>
          <t>GABRIELA DA SILVA PEREIRA</t>
        </is>
      </c>
      <c r="H11">
        <f>IFERROR(MIN(MROUND((((LARGE(B11:D11,1)+LARGE(B11:D11,2)+E11)/3)+F11+G11), 0.5), 10), 0)</f>
        <v/>
      </c>
      <c r="O11">
        <f>IFERROR(MIN(MROUND((((LARGE(I11:K11,1)+LARGE(I11:K11,2)+L11)/3)+M11+N11), 0.5), 10), 0)</f>
        <v/>
      </c>
      <c r="V11">
        <f>IFERROR(MIN(MROUND((((LARGE(P11:R11,1)+LARGE(P11:R11,2)+S11)/3)+T11+U11), 0.5), 10), 0)</f>
        <v/>
      </c>
      <c r="AC11">
        <f>IFERROR(MIN(MROUND((((LARGE(W11:Y11,1)+LARGE(W11:Y11,2)+Z11)/3)+AA11+AB11), 0.5), 10), 0)</f>
        <v/>
      </c>
      <c r="AD11">
        <f>MROUND(IF(O11=0,H11,IF(V11=0,AVERAGE(H11,O11),IF(AC11=0,AVERAGE(H11,O11,V11),AVERAGE(H11,O11,V11,AC11)))), 0.5)</f>
        <v/>
      </c>
      <c r="AE11">
        <f>IF(AD11&gt;=6,"Aprovado","Exame")</f>
        <v/>
      </c>
    </row>
    <row r="12">
      <c r="A12" t="inlineStr">
        <is>
          <t>GABRIEL ALMIRO PEREIRA FOGAÇA</t>
        </is>
      </c>
      <c r="H12">
        <f>IFERROR(MIN(MROUND((((LARGE(B12:D12,1)+LARGE(B12:D12,2)+E12)/3)+F12+G12), 0.5), 10), 0)</f>
        <v/>
      </c>
      <c r="O12">
        <f>IFERROR(MIN(MROUND((((LARGE(I12:K12,1)+LARGE(I12:K12,2)+L12)/3)+M12+N12), 0.5), 10), 0)</f>
        <v/>
      </c>
      <c r="V12">
        <f>IFERROR(MIN(MROUND((((LARGE(P12:R12,1)+LARGE(P12:R12,2)+S12)/3)+T12+U12), 0.5), 10), 0)</f>
        <v/>
      </c>
      <c r="AC12">
        <f>IFERROR(MIN(MROUND((((LARGE(W12:Y12,1)+LARGE(W12:Y12,2)+Z12)/3)+AA12+AB12), 0.5), 10), 0)</f>
        <v/>
      </c>
      <c r="AD12">
        <f>MROUND(IF(O12=0,H12,IF(V12=0,AVERAGE(H12,O12),IF(AC12=0,AVERAGE(H12,O12,V12),AVERAGE(H12,O12,V12,AC12)))), 0.5)</f>
        <v/>
      </c>
      <c r="AE12">
        <f>IF(AD12&gt;=6,"Aprovado","Exame")</f>
        <v/>
      </c>
    </row>
    <row r="13">
      <c r="A13" t="inlineStr">
        <is>
          <t>GIOVANA GARCIA FERREIRA</t>
        </is>
      </c>
      <c r="H13">
        <f>IFERROR(MIN(MROUND((((LARGE(B13:D13,1)+LARGE(B13:D13,2)+E13)/3)+F13+G13), 0.5), 10), 0)</f>
        <v/>
      </c>
      <c r="O13">
        <f>IFERROR(MIN(MROUND((((LARGE(I13:K13,1)+LARGE(I13:K13,2)+L13)/3)+M13+N13), 0.5), 10), 0)</f>
        <v/>
      </c>
      <c r="V13">
        <f>IFERROR(MIN(MROUND((((LARGE(P13:R13,1)+LARGE(P13:R13,2)+S13)/3)+T13+U13), 0.5), 10), 0)</f>
        <v/>
      </c>
      <c r="AC13">
        <f>IFERROR(MIN(MROUND((((LARGE(W13:Y13,1)+LARGE(W13:Y13,2)+Z13)/3)+AA13+AB13), 0.5), 10), 0)</f>
        <v/>
      </c>
      <c r="AD13">
        <f>MROUND(IF(O13=0,H13,IF(V13=0,AVERAGE(H13,O13),IF(AC13=0,AVERAGE(H13,O13,V13),AVERAGE(H13,O13,V13,AC13)))), 0.5)</f>
        <v/>
      </c>
      <c r="AE13">
        <f>IF(AD13&gt;=6,"Aprovado","Exame")</f>
        <v/>
      </c>
    </row>
    <row r="14">
      <c r="A14" t="inlineStr">
        <is>
          <t>GIOVANNA QUEIROZ ESCALANTE SANT'ANA</t>
        </is>
      </c>
      <c r="H14">
        <f>IFERROR(MIN(MROUND((((LARGE(B14:D14,1)+LARGE(B14:D14,2)+E14)/3)+F14+G14), 0.5), 10), 0)</f>
        <v/>
      </c>
      <c r="O14">
        <f>IFERROR(MIN(MROUND((((LARGE(I14:K14,1)+LARGE(I14:K14,2)+L14)/3)+M14+N14), 0.5), 10), 0)</f>
        <v/>
      </c>
      <c r="V14">
        <f>IFERROR(MIN(MROUND((((LARGE(P14:R14,1)+LARGE(P14:R14,2)+S14)/3)+T14+U14), 0.5), 10), 0)</f>
        <v/>
      </c>
      <c r="AC14">
        <f>IFERROR(MIN(MROUND((((LARGE(W14:Y14,1)+LARGE(W14:Y14,2)+Z14)/3)+AA14+AB14), 0.5), 10), 0)</f>
        <v/>
      </c>
      <c r="AD14">
        <f>MROUND(IF(O14=0,H14,IF(V14=0,AVERAGE(H14,O14),IF(AC14=0,AVERAGE(H14,O14,V14),AVERAGE(H14,O14,V14,AC14)))), 0.5)</f>
        <v/>
      </c>
      <c r="AE14">
        <f>IF(AD14&gt;=6,"Aprovado","Exame")</f>
        <v/>
      </c>
    </row>
    <row r="15">
      <c r="A15" t="inlineStr">
        <is>
          <t>GUSTAVO HENRIQUE DOS SANTOS BENITES</t>
        </is>
      </c>
      <c r="H15">
        <f>IFERROR(MIN(MROUND((((LARGE(B15:D15,1)+LARGE(B15:D15,2)+E15)/3)+F15+G15), 0.5), 10), 0)</f>
        <v/>
      </c>
      <c r="O15">
        <f>IFERROR(MIN(MROUND((((LARGE(I15:K15,1)+LARGE(I15:K15,2)+L15)/3)+M15+N15), 0.5), 10), 0)</f>
        <v/>
      </c>
      <c r="V15">
        <f>IFERROR(MIN(MROUND((((LARGE(P15:R15,1)+LARGE(P15:R15,2)+S15)/3)+T15+U15), 0.5), 10), 0)</f>
        <v/>
      </c>
      <c r="AC15">
        <f>IFERROR(MIN(MROUND((((LARGE(W15:Y15,1)+LARGE(W15:Y15,2)+Z15)/3)+AA15+AB15), 0.5), 10), 0)</f>
        <v/>
      </c>
      <c r="AD15">
        <f>MROUND(IF(O15=0,H15,IF(V15=0,AVERAGE(H15,O15),IF(AC15=0,AVERAGE(H15,O15,V15),AVERAGE(H15,O15,V15,AC15)))), 0.5)</f>
        <v/>
      </c>
      <c r="AE15">
        <f>IF(AD15&gt;=6,"Aprovado","Exame")</f>
        <v/>
      </c>
    </row>
    <row r="16">
      <c r="A16" t="inlineStr">
        <is>
          <t>ISABELLI BARBOSA SCHABARUM</t>
        </is>
      </c>
      <c r="H16">
        <f>IFERROR(MIN(MROUND((((LARGE(B16:D16,1)+LARGE(B16:D16,2)+E16)/3)+F16+G16), 0.5), 10), 0)</f>
        <v/>
      </c>
      <c r="O16">
        <f>IFERROR(MIN(MROUND((((LARGE(I16:K16,1)+LARGE(I16:K16,2)+L16)/3)+M16+N16), 0.5), 10), 0)</f>
        <v/>
      </c>
      <c r="V16">
        <f>IFERROR(MIN(MROUND((((LARGE(P16:R16,1)+LARGE(P16:R16,2)+S16)/3)+T16+U16), 0.5), 10), 0)</f>
        <v/>
      </c>
      <c r="AC16">
        <f>IFERROR(MIN(MROUND((((LARGE(W16:Y16,1)+LARGE(W16:Y16,2)+Z16)/3)+AA16+AB16), 0.5), 10), 0)</f>
        <v/>
      </c>
      <c r="AD16">
        <f>MROUND(IF(O16=0,H16,IF(V16=0,AVERAGE(H16,O16),IF(AC16=0,AVERAGE(H16,O16,V16),AVERAGE(H16,O16,V16,AC16)))), 0.5)</f>
        <v/>
      </c>
      <c r="AE16">
        <f>IF(AD16&gt;=6,"Aprovado","Exame")</f>
        <v/>
      </c>
    </row>
    <row r="17">
      <c r="A17" t="inlineStr">
        <is>
          <t>JOSÉ RUBENS FIGUEIRA NETO</t>
        </is>
      </c>
      <c r="H17">
        <f>IFERROR(MIN(MROUND((((LARGE(B17:D17,1)+LARGE(B17:D17,2)+E17)/3)+F17+G17), 0.5), 10), 0)</f>
        <v/>
      </c>
      <c r="O17">
        <f>IFERROR(MIN(MROUND((((LARGE(I17:K17,1)+LARGE(I17:K17,2)+L17)/3)+M17+N17), 0.5), 10), 0)</f>
        <v/>
      </c>
      <c r="V17">
        <f>IFERROR(MIN(MROUND((((LARGE(P17:R17,1)+LARGE(P17:R17,2)+S17)/3)+T17+U17), 0.5), 10), 0)</f>
        <v/>
      </c>
      <c r="AC17">
        <f>IFERROR(MIN(MROUND((((LARGE(W17:Y17,1)+LARGE(W17:Y17,2)+Z17)/3)+AA17+AB17), 0.5), 10), 0)</f>
        <v/>
      </c>
      <c r="AD17">
        <f>MROUND(IF(O17=0,H17,IF(V17=0,AVERAGE(H17,O17),IF(AC17=0,AVERAGE(H17,O17,V17),AVERAGE(H17,O17,V17,AC17)))), 0.5)</f>
        <v/>
      </c>
      <c r="AE17">
        <f>IF(AD17&gt;=6,"Aprovado","Exame")</f>
        <v/>
      </c>
    </row>
    <row r="18">
      <c r="A18" t="inlineStr">
        <is>
          <t>LAÍS DE FARIAS RAMOS</t>
        </is>
      </c>
      <c r="H18">
        <f>IFERROR(MIN(MROUND((((LARGE(B18:D18,1)+LARGE(B18:D18,2)+E18)/3)+F18+G18), 0.5), 10), 0)</f>
        <v/>
      </c>
      <c r="O18">
        <f>IFERROR(MIN(MROUND((((LARGE(I18:K18,1)+LARGE(I18:K18,2)+L18)/3)+M18+N18), 0.5), 10), 0)</f>
        <v/>
      </c>
      <c r="V18">
        <f>IFERROR(MIN(MROUND((((LARGE(P18:R18,1)+LARGE(P18:R18,2)+S18)/3)+T18+U18), 0.5), 10), 0)</f>
        <v/>
      </c>
      <c r="AC18">
        <f>IFERROR(MIN(MROUND((((LARGE(W18:Y18,1)+LARGE(W18:Y18,2)+Z18)/3)+AA18+AB18), 0.5), 10), 0)</f>
        <v/>
      </c>
      <c r="AD18">
        <f>MROUND(IF(O18=0,H18,IF(V18=0,AVERAGE(H18,O18),IF(AC18=0,AVERAGE(H18,O18,V18),AVERAGE(H18,O18,V18,AC18)))), 0.5)</f>
        <v/>
      </c>
      <c r="AE18">
        <f>IF(AD18&gt;=6,"Aprovado","Exame")</f>
        <v/>
      </c>
    </row>
    <row r="19">
      <c r="A19" t="inlineStr">
        <is>
          <t>LAURA DANTAS DE SOUZA</t>
        </is>
      </c>
      <c r="H19">
        <f>IFERROR(MIN(MROUND((((LARGE(B19:D19,1)+LARGE(B19:D19,2)+E19)/3)+F19+G19), 0.5), 10), 0)</f>
        <v/>
      </c>
      <c r="O19">
        <f>IFERROR(MIN(MROUND((((LARGE(I19:K19,1)+LARGE(I19:K19,2)+L19)/3)+M19+N19), 0.5), 10), 0)</f>
        <v/>
      </c>
      <c r="V19">
        <f>IFERROR(MIN(MROUND((((LARGE(P19:R19,1)+LARGE(P19:R19,2)+S19)/3)+T19+U19), 0.5), 10), 0)</f>
        <v/>
      </c>
      <c r="AC19">
        <f>IFERROR(MIN(MROUND((((LARGE(W19:Y19,1)+LARGE(W19:Y19,2)+Z19)/3)+AA19+AB19), 0.5), 10), 0)</f>
        <v/>
      </c>
      <c r="AD19">
        <f>MROUND(IF(O19=0,H19,IF(V19=0,AVERAGE(H19,O19),IF(AC19=0,AVERAGE(H19,O19,V19),AVERAGE(H19,O19,V19,AC19)))), 0.5)</f>
        <v/>
      </c>
      <c r="AE19">
        <f>IF(AD19&gt;=6,"Aprovado","Exame")</f>
        <v/>
      </c>
    </row>
    <row r="20">
      <c r="A20" t="inlineStr">
        <is>
          <t>LUIS GUSTAVO GOMES VAZ DA SILVA (T-04/03/2026)</t>
        </is>
      </c>
      <c r="H20">
        <f>IFERROR(MIN(MROUND((((LARGE(B20:D20,1)+LARGE(B20:D20,2)+E20)/3)+F20+G20), 0.5), 10), 0)</f>
        <v/>
      </c>
      <c r="O20">
        <f>IFERROR(MIN(MROUND((((LARGE(I20:K20,1)+LARGE(I20:K20,2)+L20)/3)+M20+N20), 0.5), 10), 0)</f>
        <v/>
      </c>
      <c r="V20">
        <f>IFERROR(MIN(MROUND((((LARGE(P20:R20,1)+LARGE(P20:R20,2)+S20)/3)+T20+U20), 0.5), 10), 0)</f>
        <v/>
      </c>
      <c r="AC20">
        <f>IFERROR(MIN(MROUND((((LARGE(W20:Y20,1)+LARGE(W20:Y20,2)+Z20)/3)+AA20+AB20), 0.5), 10), 0)</f>
        <v/>
      </c>
      <c r="AD20">
        <f>MROUND(IF(O20=0,H20,IF(V20=0,AVERAGE(H20,O20),IF(AC20=0,AVERAGE(H20,O20,V20),AVERAGE(H20,O20,V20,AC20)))), 0.5)</f>
        <v/>
      </c>
      <c r="AE20">
        <f>IF(AD20&gt;=6,"Aprovado","Exame")</f>
        <v/>
      </c>
    </row>
    <row r="21">
      <c r="A21" t="inlineStr">
        <is>
          <t>LUIZ GUSTAVO PACHE SALLES</t>
        </is>
      </c>
      <c r="H21">
        <f>IFERROR(MIN(MROUND((((LARGE(B21:D21,1)+LARGE(B21:D21,2)+E21)/3)+F21+G21), 0.5), 10), 0)</f>
        <v/>
      </c>
      <c r="O21">
        <f>IFERROR(MIN(MROUND((((LARGE(I21:K21,1)+LARGE(I21:K21,2)+L21)/3)+M21+N21), 0.5), 10), 0)</f>
        <v/>
      </c>
      <c r="V21">
        <f>IFERROR(MIN(MROUND((((LARGE(P21:R21,1)+LARGE(P21:R21,2)+S21)/3)+T21+U21), 0.5), 10), 0)</f>
        <v/>
      </c>
      <c r="AC21">
        <f>IFERROR(MIN(MROUND((((LARGE(W21:Y21,1)+LARGE(W21:Y21,2)+Z21)/3)+AA21+AB21), 0.5), 10), 0)</f>
        <v/>
      </c>
      <c r="AD21">
        <f>MROUND(IF(O21=0,H21,IF(V21=0,AVERAGE(H21,O21),IF(AC21=0,AVERAGE(H21,O21,V21),AVERAGE(H21,O21,V21,AC21)))), 0.5)</f>
        <v/>
      </c>
      <c r="AE21">
        <f>IF(AD21&gt;=6,"Aprovado","Exame")</f>
        <v/>
      </c>
    </row>
    <row r="22">
      <c r="A22" t="inlineStr">
        <is>
          <t>MARIA CLARA DE DEUS SMITH</t>
        </is>
      </c>
      <c r="H22">
        <f>IFERROR(MIN(MROUND((((LARGE(B22:D22,1)+LARGE(B22:D22,2)+E22)/3)+F22+G22), 0.5), 10), 0)</f>
        <v/>
      </c>
      <c r="O22">
        <f>IFERROR(MIN(MROUND((((LARGE(I22:K22,1)+LARGE(I22:K22,2)+L22)/3)+M22+N22), 0.5), 10), 0)</f>
        <v/>
      </c>
      <c r="V22">
        <f>IFERROR(MIN(MROUND((((LARGE(P22:R22,1)+LARGE(P22:R22,2)+S22)/3)+T22+U22), 0.5), 10), 0)</f>
        <v/>
      </c>
      <c r="AC22">
        <f>IFERROR(MIN(MROUND((((LARGE(W22:Y22,1)+LARGE(W22:Y22,2)+Z22)/3)+AA22+AB22), 0.5), 10), 0)</f>
        <v/>
      </c>
      <c r="AD22">
        <f>MROUND(IF(O22=0,H22,IF(V22=0,AVERAGE(H22,O22),IF(AC22=0,AVERAGE(H22,O22,V22),AVERAGE(H22,O22,V22,AC22)))), 0.5)</f>
        <v/>
      </c>
      <c r="AE22">
        <f>IF(AD22&gt;=6,"Aprovado","Exame")</f>
        <v/>
      </c>
    </row>
    <row r="23">
      <c r="A23" t="inlineStr">
        <is>
          <t>MARIA EDUARDA CRISTALDO DUARTE</t>
        </is>
      </c>
      <c r="H23">
        <f>IFERROR(MIN(MROUND((((LARGE(B23:D23,1)+LARGE(B23:D23,2)+E23)/3)+F23+G23), 0.5), 10), 0)</f>
        <v/>
      </c>
      <c r="O23">
        <f>IFERROR(MIN(MROUND((((LARGE(I23:K23,1)+LARGE(I23:K23,2)+L23)/3)+M23+N23), 0.5), 10), 0)</f>
        <v/>
      </c>
      <c r="V23">
        <f>IFERROR(MIN(MROUND((((LARGE(P23:R23,1)+LARGE(P23:R23,2)+S23)/3)+T23+U23), 0.5), 10), 0)</f>
        <v/>
      </c>
      <c r="AC23">
        <f>IFERROR(MIN(MROUND((((LARGE(W23:Y23,1)+LARGE(W23:Y23,2)+Z23)/3)+AA23+AB23), 0.5), 10), 0)</f>
        <v/>
      </c>
      <c r="AD23">
        <f>MROUND(IF(O23=0,H23,IF(V23=0,AVERAGE(H23,O23),IF(AC23=0,AVERAGE(H23,O23,V23),AVERAGE(H23,O23,V23,AC23)))), 0.5)</f>
        <v/>
      </c>
      <c r="AE23">
        <f>IF(AD23&gt;=6,"Aprovado","Exame")</f>
        <v/>
      </c>
    </row>
    <row r="24">
      <c r="A24" t="inlineStr">
        <is>
          <t>MARIA EDUARDA MARINHO DE FRANÇA</t>
        </is>
      </c>
      <c r="H24">
        <f>IFERROR(MIN(MROUND((((LARGE(B24:D24,1)+LARGE(B24:D24,2)+E24)/3)+F24+G24), 0.5), 10), 0)</f>
        <v/>
      </c>
      <c r="O24">
        <f>IFERROR(MIN(MROUND((((LARGE(I24:K24,1)+LARGE(I24:K24,2)+L24)/3)+M24+N24), 0.5), 10), 0)</f>
        <v/>
      </c>
      <c r="V24">
        <f>IFERROR(MIN(MROUND((((LARGE(P24:R24,1)+LARGE(P24:R24,2)+S24)/3)+T24+U24), 0.5), 10), 0)</f>
        <v/>
      </c>
      <c r="AC24">
        <f>IFERROR(MIN(MROUND((((LARGE(W24:Y24,1)+LARGE(W24:Y24,2)+Z24)/3)+AA24+AB24), 0.5), 10), 0)</f>
        <v/>
      </c>
      <c r="AD24">
        <f>MROUND(IF(O24=0,H24,IF(V24=0,AVERAGE(H24,O24),IF(AC24=0,AVERAGE(H24,O24,V24),AVERAGE(H24,O24,V24,AC24)))), 0.5)</f>
        <v/>
      </c>
      <c r="AE24">
        <f>IF(AD24&gt;=6,"Aprovado","Exame")</f>
        <v/>
      </c>
    </row>
    <row r="25">
      <c r="A25" t="inlineStr">
        <is>
          <t>MARIA LUIZA DA SILVA ALVES</t>
        </is>
      </c>
      <c r="H25">
        <f>IFERROR(MIN(MROUND((((LARGE(B25:D25,1)+LARGE(B25:D25,2)+E25)/3)+F25+G25), 0.5), 10), 0)</f>
        <v/>
      </c>
      <c r="O25">
        <f>IFERROR(MIN(MROUND((((LARGE(I25:K25,1)+LARGE(I25:K25,2)+L25)/3)+M25+N25), 0.5), 10), 0)</f>
        <v/>
      </c>
      <c r="V25">
        <f>IFERROR(MIN(MROUND((((LARGE(P25:R25,1)+LARGE(P25:R25,2)+S25)/3)+T25+U25), 0.5), 10), 0)</f>
        <v/>
      </c>
      <c r="AC25">
        <f>IFERROR(MIN(MROUND((((LARGE(W25:Y25,1)+LARGE(W25:Y25,2)+Z25)/3)+AA25+AB25), 0.5), 10), 0)</f>
        <v/>
      </c>
      <c r="AD25">
        <f>MROUND(IF(O25=0,H25,IF(V25=0,AVERAGE(H25,O25),IF(AC25=0,AVERAGE(H25,O25,V25),AVERAGE(H25,O25,V25,AC25)))), 0.5)</f>
        <v/>
      </c>
      <c r="AE25">
        <f>IF(AD25&gt;=6,"Aprovado","Exame")</f>
        <v/>
      </c>
    </row>
    <row r="26">
      <c r="A26" t="inlineStr">
        <is>
          <t>MATEUS MAIA BATISTOTI OKUMOTO</t>
        </is>
      </c>
      <c r="H26">
        <f>IFERROR(MIN(MROUND((((LARGE(B26:D26,1)+LARGE(B26:D26,2)+E26)/3)+F26+G26), 0.5), 10), 0)</f>
        <v/>
      </c>
      <c r="O26">
        <f>IFERROR(MIN(MROUND((((LARGE(I26:K26,1)+LARGE(I26:K26,2)+L26)/3)+M26+N26), 0.5), 10), 0)</f>
        <v/>
      </c>
      <c r="V26">
        <f>IFERROR(MIN(MROUND((((LARGE(P26:R26,1)+LARGE(P26:R26,2)+S26)/3)+T26+U26), 0.5), 10), 0)</f>
        <v/>
      </c>
      <c r="AC26">
        <f>IFERROR(MIN(MROUND((((LARGE(W26:Y26,1)+LARGE(W26:Y26,2)+Z26)/3)+AA26+AB26), 0.5), 10), 0)</f>
        <v/>
      </c>
      <c r="AD26">
        <f>MROUND(IF(O26=0,H26,IF(V26=0,AVERAGE(H26,O26),IF(AC26=0,AVERAGE(H26,O26,V26),AVERAGE(H26,O26,V26,AC26)))), 0.5)</f>
        <v/>
      </c>
      <c r="AE26">
        <f>IF(AD26&gt;=6,"Aprovado","Exame")</f>
        <v/>
      </c>
    </row>
    <row r="27">
      <c r="A27" t="inlineStr">
        <is>
          <t>MIGUEL DE SOUZA GONÇALVES</t>
        </is>
      </c>
      <c r="H27">
        <f>IFERROR(MIN(MROUND((((LARGE(B27:D27,1)+LARGE(B27:D27,2)+E27)/3)+F27+G27), 0.5), 10), 0)</f>
        <v/>
      </c>
      <c r="O27">
        <f>IFERROR(MIN(MROUND((((LARGE(I27:K27,1)+LARGE(I27:K27,2)+L27)/3)+M27+N27), 0.5), 10), 0)</f>
        <v/>
      </c>
      <c r="V27">
        <f>IFERROR(MIN(MROUND((((LARGE(P27:R27,1)+LARGE(P27:R27,2)+S27)/3)+T27+U27), 0.5), 10), 0)</f>
        <v/>
      </c>
      <c r="AC27">
        <f>IFERROR(MIN(MROUND((((LARGE(W27:Y27,1)+LARGE(W27:Y27,2)+Z27)/3)+AA27+AB27), 0.5), 10), 0)</f>
        <v/>
      </c>
      <c r="AD27">
        <f>MROUND(IF(O27=0,H27,IF(V27=0,AVERAGE(H27,O27),IF(AC27=0,AVERAGE(H27,O27,V27),AVERAGE(H27,O27,V27,AC27)))), 0.5)</f>
        <v/>
      </c>
      <c r="AE27">
        <f>IF(AD27&gt;=6,"Aprovado","Exame")</f>
        <v/>
      </c>
    </row>
    <row r="28">
      <c r="A28" t="inlineStr">
        <is>
          <t>MYLENA NEVES DE PAULA</t>
        </is>
      </c>
      <c r="H28">
        <f>IFERROR(MIN(MROUND((((LARGE(B28:D28,1)+LARGE(B28:D28,2)+E28)/3)+F28+G28), 0.5), 10), 0)</f>
        <v/>
      </c>
      <c r="O28">
        <f>IFERROR(MIN(MROUND((((LARGE(I28:K28,1)+LARGE(I28:K28,2)+L28)/3)+M28+N28), 0.5), 10), 0)</f>
        <v/>
      </c>
      <c r="V28">
        <f>IFERROR(MIN(MROUND((((LARGE(P28:R28,1)+LARGE(P28:R28,2)+S28)/3)+T28+U28), 0.5), 10), 0)</f>
        <v/>
      </c>
      <c r="AC28">
        <f>IFERROR(MIN(MROUND((((LARGE(W28:Y28,1)+LARGE(W28:Y28,2)+Z28)/3)+AA28+AB28), 0.5), 10), 0)</f>
        <v/>
      </c>
      <c r="AD28">
        <f>MROUND(IF(O28=0,H28,IF(V28=0,AVERAGE(H28,O28),IF(AC28=0,AVERAGE(H28,O28,V28),AVERAGE(H28,O28,V28,AC28)))), 0.5)</f>
        <v/>
      </c>
      <c r="AE28">
        <f>IF(AD28&gt;=6,"Aprovado","Exame")</f>
        <v/>
      </c>
    </row>
    <row r="29">
      <c r="A29" t="inlineStr">
        <is>
          <t>NICOLLY DOS SANTOS DA SILVA</t>
        </is>
      </c>
      <c r="H29">
        <f>IFERROR(MIN(MROUND((((LARGE(B29:D29,1)+LARGE(B29:D29,2)+E29)/3)+F29+G29), 0.5), 10), 0)</f>
        <v/>
      </c>
      <c r="O29">
        <f>IFERROR(MIN(MROUND((((LARGE(I29:K29,1)+LARGE(I29:K29,2)+L29)/3)+M29+N29), 0.5), 10), 0)</f>
        <v/>
      </c>
      <c r="V29">
        <f>IFERROR(MIN(MROUND((((LARGE(P29:R29,1)+LARGE(P29:R29,2)+S29)/3)+T29+U29), 0.5), 10), 0)</f>
        <v/>
      </c>
      <c r="AC29">
        <f>IFERROR(MIN(MROUND((((LARGE(W29:Y29,1)+LARGE(W29:Y29,2)+Z29)/3)+AA29+AB29), 0.5), 10), 0)</f>
        <v/>
      </c>
      <c r="AD29">
        <f>MROUND(IF(O29=0,H29,IF(V29=0,AVERAGE(H29,O29),IF(AC29=0,AVERAGE(H29,O29,V29),AVERAGE(H29,O29,V29,AC29)))), 0.5)</f>
        <v/>
      </c>
      <c r="AE29">
        <f>IF(AD29&gt;=6,"Aprovado","Exame")</f>
        <v/>
      </c>
    </row>
    <row r="30">
      <c r="A30" t="inlineStr">
        <is>
          <t>RENATA SOARES SOUZA</t>
        </is>
      </c>
      <c r="H30">
        <f>IFERROR(MIN(MROUND((((LARGE(B30:D30,1)+LARGE(B30:D30,2)+E30)/3)+F30+G30), 0.5), 10), 0)</f>
        <v/>
      </c>
      <c r="O30">
        <f>IFERROR(MIN(MROUND((((LARGE(I30:K30,1)+LARGE(I30:K30,2)+L30)/3)+M30+N30), 0.5), 10), 0)</f>
        <v/>
      </c>
      <c r="V30">
        <f>IFERROR(MIN(MROUND((((LARGE(P30:R30,1)+LARGE(P30:R30,2)+S30)/3)+T30+U30), 0.5), 10), 0)</f>
        <v/>
      </c>
      <c r="AC30">
        <f>IFERROR(MIN(MROUND((((LARGE(W30:Y30,1)+LARGE(W30:Y30,2)+Z30)/3)+AA30+AB30), 0.5), 10), 0)</f>
        <v/>
      </c>
      <c r="AD30">
        <f>MROUND(IF(O30=0,H30,IF(V30=0,AVERAGE(H30,O30),IF(AC30=0,AVERAGE(H30,O30,V30),AVERAGE(H30,O30,V30,AC30)))), 0.5)</f>
        <v/>
      </c>
      <c r="AE30">
        <f>IF(AD30&gt;=6,"Aprovado","Exame")</f>
        <v/>
      </c>
    </row>
    <row r="31">
      <c r="A31" t="inlineStr">
        <is>
          <t>ROBSON BARROS DA SILVA</t>
        </is>
      </c>
      <c r="H31">
        <f>IFERROR(MIN(MROUND((((LARGE(B31:D31,1)+LARGE(B31:D31,2)+E31)/3)+F31+G31), 0.5), 10), 0)</f>
        <v/>
      </c>
      <c r="O31">
        <f>IFERROR(MIN(MROUND((((LARGE(I31:K31,1)+LARGE(I31:K31,2)+L31)/3)+M31+N31), 0.5), 10), 0)</f>
        <v/>
      </c>
      <c r="V31">
        <f>IFERROR(MIN(MROUND((((LARGE(P31:R31,1)+LARGE(P31:R31,2)+S31)/3)+T31+U31), 0.5), 10), 0)</f>
        <v/>
      </c>
      <c r="AC31">
        <f>IFERROR(MIN(MROUND((((LARGE(W31:Y31,1)+LARGE(W31:Y31,2)+Z31)/3)+AA31+AB31), 0.5), 10), 0)</f>
        <v/>
      </c>
      <c r="AD31">
        <f>MROUND(IF(O31=0,H31,IF(V31=0,AVERAGE(H31,O31),IF(AC31=0,AVERAGE(H31,O31,V31),AVERAGE(H31,O31,V31,AC31)))), 0.5)</f>
        <v/>
      </c>
      <c r="AE31">
        <f>IF(AD31&gt;=6,"Aprovado","Exame")</f>
        <v/>
      </c>
    </row>
    <row r="32">
      <c r="A32" t="inlineStr">
        <is>
          <t>SOPHIA LOPES RODRIGUES</t>
        </is>
      </c>
      <c r="H32">
        <f>IFERROR(MIN(MROUND((((LARGE(B32:D32,1)+LARGE(B32:D32,2)+E32)/3)+F32+G32), 0.5), 10), 0)</f>
        <v/>
      </c>
      <c r="O32">
        <f>IFERROR(MIN(MROUND((((LARGE(I32:K32,1)+LARGE(I32:K32,2)+L32)/3)+M32+N32), 0.5), 10), 0)</f>
        <v/>
      </c>
      <c r="V32">
        <f>IFERROR(MIN(MROUND((((LARGE(P32:R32,1)+LARGE(P32:R32,2)+S32)/3)+T32+U32), 0.5), 10), 0)</f>
        <v/>
      </c>
      <c r="AC32">
        <f>IFERROR(MIN(MROUND((((LARGE(W32:Y32,1)+LARGE(W32:Y32,2)+Z32)/3)+AA32+AB32), 0.5), 10), 0)</f>
        <v/>
      </c>
      <c r="AD32">
        <f>MROUND(IF(O32=0,H32,IF(V32=0,AVERAGE(H32,O32),IF(AC32=0,AVERAGE(H32,O32,V32),AVERAGE(H32,O32,V32,AC32)))), 0.5)</f>
        <v/>
      </c>
      <c r="AE32">
        <f>IF(AD32&gt;=6,"Aprovado","Exame")</f>
        <v/>
      </c>
    </row>
    <row r="33">
      <c r="A33" t="inlineStr">
        <is>
          <t>VINICIUS PEREIRA MARQUES</t>
        </is>
      </c>
      <c r="H33">
        <f>IFERROR(MIN(MROUND((((LARGE(B33:D33,1)+LARGE(B33:D33,2)+E33)/3)+F33+G33), 0.5), 10), 0)</f>
        <v/>
      </c>
      <c r="O33">
        <f>IFERROR(MIN(MROUND((((LARGE(I33:K33,1)+LARGE(I33:K33,2)+L33)/3)+M33+N33), 0.5), 10), 0)</f>
        <v/>
      </c>
      <c r="V33">
        <f>IFERROR(MIN(MROUND((((LARGE(P33:R33,1)+LARGE(P33:R33,2)+S33)/3)+T33+U33), 0.5), 10), 0)</f>
        <v/>
      </c>
      <c r="AC33">
        <f>IFERROR(MIN(MROUND((((LARGE(W33:Y33,1)+LARGE(W33:Y33,2)+Z33)/3)+AA33+AB33), 0.5), 10), 0)</f>
        <v/>
      </c>
      <c r="AD33">
        <f>MROUND(IF(O33=0,H33,IF(V33=0,AVERAGE(H33,O33),IF(AC33=0,AVERAGE(H33,O33,V33),AVERAGE(H33,O33,V33,AC33)))), 0.5)</f>
        <v/>
      </c>
      <c r="AE33">
        <f>IF(AD33&gt;=6,"Aprovado","Exame")</f>
        <v/>
      </c>
    </row>
    <row r="34">
      <c r="A34" t="inlineStr">
        <is>
          <t>VITÓRIA GABRIELE DIAS DE ANDRADE</t>
        </is>
      </c>
      <c r="H34">
        <f>IFERROR(MIN(MROUND((((LARGE(B34:D34,1)+LARGE(B34:D34,2)+E34)/3)+F34+G34), 0.5), 10), 0)</f>
        <v/>
      </c>
      <c r="O34">
        <f>IFERROR(MIN(MROUND((((LARGE(I34:K34,1)+LARGE(I34:K34,2)+L34)/3)+M34+N34), 0.5), 10), 0)</f>
        <v/>
      </c>
      <c r="V34">
        <f>IFERROR(MIN(MROUND((((LARGE(P34:R34,1)+LARGE(P34:R34,2)+S34)/3)+T34+U34), 0.5), 10), 0)</f>
        <v/>
      </c>
      <c r="AC34">
        <f>IFERROR(MIN(MROUND((((LARGE(W34:Y34,1)+LARGE(W34:Y34,2)+Z34)/3)+AA34+AB34), 0.5), 10), 0)</f>
        <v/>
      </c>
      <c r="AD34">
        <f>MROUND(IF(O34=0,H34,IF(V34=0,AVERAGE(H34,O34),IF(AC34=0,AVERAGE(H34,O34,V34),AVERAGE(H34,O34,V34,AC34)))), 0.5)</f>
        <v/>
      </c>
      <c r="AE34">
        <f>IF(AD34&gt;=6,"Aprovado","Exame")</f>
        <v/>
      </c>
    </row>
    <row r="35">
      <c r="A35" t="inlineStr">
        <is>
          <t>VITÓRIA SILVA FREITAS (T-05/03/2026)</t>
        </is>
      </c>
      <c r="H35">
        <f>IFERROR(MIN(MROUND((((LARGE(B35:D35,1)+LARGE(B35:D35,2)+E35)/3)+F35+G35), 0.5), 10), 0)</f>
        <v/>
      </c>
      <c r="O35">
        <f>IFERROR(MIN(MROUND((((LARGE(I35:K35,1)+LARGE(I35:K35,2)+L35)/3)+M35+N35), 0.5), 10), 0)</f>
        <v/>
      </c>
      <c r="V35">
        <f>IFERROR(MIN(MROUND((((LARGE(P35:R35,1)+LARGE(P35:R35,2)+S35)/3)+T35+U35), 0.5), 10), 0)</f>
        <v/>
      </c>
      <c r="AC35">
        <f>IFERROR(MIN(MROUND((((LARGE(W35:Y35,1)+LARGE(W35:Y35,2)+Z35)/3)+AA35+AB35), 0.5), 10), 0)</f>
        <v/>
      </c>
      <c r="AD35">
        <f>MROUND(IF(O35=0,H35,IF(V35=0,AVERAGE(H35,O35),IF(AC35=0,AVERAGE(H35,O35,V35),AVERAGE(H35,O35,V35,AC35)))), 0.5)</f>
        <v/>
      </c>
      <c r="AE35">
        <f>IF(AD35&gt;=6,"Aprovado","Exame")</f>
        <v/>
      </c>
    </row>
    <row r="36">
      <c r="A36" t="inlineStr">
        <is>
          <t>YAGO COELHO DE REZENDE</t>
        </is>
      </c>
      <c r="H36">
        <f>IFERROR(MIN(MROUND((((LARGE(B36:D36,1)+LARGE(B36:D36,2)+E36)/3)+F36+G36), 0.5), 10), 0)</f>
        <v/>
      </c>
      <c r="O36">
        <f>IFERROR(MIN(MROUND((((LARGE(I36:K36,1)+LARGE(I36:K36,2)+L36)/3)+M36+N36), 0.5), 10), 0)</f>
        <v/>
      </c>
      <c r="V36">
        <f>IFERROR(MIN(MROUND((((LARGE(P36:R36,1)+LARGE(P36:R36,2)+S36)/3)+T36+U36), 0.5), 10), 0)</f>
        <v/>
      </c>
      <c r="AC36">
        <f>IFERROR(MIN(MROUND((((LARGE(W36:Y36,1)+LARGE(W36:Y36,2)+Z36)/3)+AA36+AB36), 0.5), 10), 0)</f>
        <v/>
      </c>
      <c r="AD36">
        <f>MROUND(IF(O36=0,H36,IF(V36=0,AVERAGE(H36,O36),IF(AC36=0,AVERAGE(H36,O36,V36),AVERAGE(H36,O36,V36,AC36)))), 0.5)</f>
        <v/>
      </c>
      <c r="AE36">
        <f>IF(AD36&gt;=6,"Aprovado","Exame")</f>
        <v/>
      </c>
    </row>
    <row r="37">
      <c r="A37" t="inlineStr">
        <is>
          <t>RAFAELLA MORAIS BRAMBILLA (RM-13/03/2026 para 2º Ano C -BIG DATA)</t>
        </is>
      </c>
      <c r="H37">
        <f>IFERROR(MIN(MROUND((((LARGE(B37:D37,1)+LARGE(B37:D37,2)+E37)/3)+F37+G37), 0.5), 10), 0)</f>
        <v/>
      </c>
      <c r="O37">
        <f>IFERROR(MIN(MROUND((((LARGE(I37:K37,1)+LARGE(I37:K37,2)+L37)/3)+M37+N37), 0.5), 10), 0)</f>
        <v/>
      </c>
      <c r="V37">
        <f>IFERROR(MIN(MROUND((((LARGE(P37:R37,1)+LARGE(P37:R37,2)+S37)/3)+T37+U37), 0.5), 10), 0)</f>
        <v/>
      </c>
      <c r="AC37">
        <f>IFERROR(MIN(MROUND((((LARGE(W37:Y37,1)+LARGE(W37:Y37,2)+Z37)/3)+AA37+AB37), 0.5), 10), 0)</f>
        <v/>
      </c>
      <c r="AD37">
        <f>MROUND(IF(O37=0,H37,IF(V37=0,AVERAGE(H37,O37),IF(AC37=0,AVERAGE(H37,O37,V37),AVERAGE(H37,O37,V37,AC37)))), 0.5)</f>
        <v/>
      </c>
      <c r="AE37">
        <f>IF(AD37&gt;=6,"Aprovado","Exame")</f>
        <v/>
      </c>
    </row>
    <row r="38">
      <c r="A38" t="inlineStr">
        <is>
          <t>THEO FAGUNDES DA SILVA</t>
        </is>
      </c>
      <c r="H38">
        <f>IFERROR(MIN(MROUND((((LARGE(B38:D38,1)+LARGE(B38:D38,2)+E38)/3)+F38+G38), 0.5), 10), 0)</f>
        <v/>
      </c>
      <c r="O38">
        <f>IFERROR(MIN(MROUND((((LARGE(I38:K38,1)+LARGE(I38:K38,2)+L38)/3)+M38+N38), 0.5), 10), 0)</f>
        <v/>
      </c>
      <c r="V38">
        <f>IFERROR(MIN(MROUND((((LARGE(P38:R38,1)+LARGE(P38:R38,2)+S38)/3)+T38+U38), 0.5), 10), 0)</f>
        <v/>
      </c>
      <c r="AC38">
        <f>IFERROR(MIN(MROUND((((LARGE(W38:Y38,1)+LARGE(W38:Y38,2)+Z38)/3)+AA38+AB38), 0.5), 10), 0)</f>
        <v/>
      </c>
      <c r="AD38">
        <f>MROUND(IF(O38=0,H38,IF(V38=0,AVERAGE(H38,O38),IF(AC38=0,AVERAGE(H38,O38,V38),AVERAGE(H38,O38,V38,AC38)))), 0.5)</f>
        <v/>
      </c>
      <c r="AE38">
        <f>IF(AD38&gt;=6,"Aprovado","Exame")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N1_B1</t>
        </is>
      </c>
      <c r="C1" t="inlineStr">
        <is>
          <t>N2_B1</t>
        </is>
      </c>
      <c r="D1" t="inlineStr">
        <is>
          <t>N3_B1</t>
        </is>
      </c>
      <c r="E1" t="inlineStr">
        <is>
          <t>N4_B1</t>
        </is>
      </c>
      <c r="F1" t="inlineStr">
        <is>
          <t>Atv1_B1</t>
        </is>
      </c>
      <c r="G1" t="inlineStr">
        <is>
          <t>Atv2_B1</t>
        </is>
      </c>
      <c r="H1" t="inlineStr">
        <is>
          <t>Media_B1</t>
        </is>
      </c>
      <c r="I1" t="inlineStr">
        <is>
          <t>N1_B2</t>
        </is>
      </c>
      <c r="J1" t="inlineStr">
        <is>
          <t>N2_B2</t>
        </is>
      </c>
      <c r="K1" t="inlineStr">
        <is>
          <t>N3_B2</t>
        </is>
      </c>
      <c r="L1" t="inlineStr">
        <is>
          <t>N4_B2</t>
        </is>
      </c>
      <c r="M1" t="inlineStr">
        <is>
          <t>Atv1_B2</t>
        </is>
      </c>
      <c r="N1" t="inlineStr">
        <is>
          <t>Atv2_B2</t>
        </is>
      </c>
      <c r="O1" t="inlineStr">
        <is>
          <t>Media_B2</t>
        </is>
      </c>
      <c r="P1" t="inlineStr">
        <is>
          <t>N1_B3</t>
        </is>
      </c>
      <c r="Q1" t="inlineStr">
        <is>
          <t>N2_B3</t>
        </is>
      </c>
      <c r="R1" t="inlineStr">
        <is>
          <t>N3_B3</t>
        </is>
      </c>
      <c r="S1" t="inlineStr">
        <is>
          <t>N4_B3</t>
        </is>
      </c>
      <c r="T1" t="inlineStr">
        <is>
          <t>Atv1_B3</t>
        </is>
      </c>
      <c r="U1" t="inlineStr">
        <is>
          <t>Atv2_B3</t>
        </is>
      </c>
      <c r="V1" t="inlineStr">
        <is>
          <t>Media_B3</t>
        </is>
      </c>
      <c r="W1" t="inlineStr">
        <is>
          <t>N1_B4</t>
        </is>
      </c>
      <c r="X1" t="inlineStr">
        <is>
          <t>N2_B4</t>
        </is>
      </c>
      <c r="Y1" t="inlineStr">
        <is>
          <t>N3_B4</t>
        </is>
      </c>
      <c r="Z1" t="inlineStr">
        <is>
          <t>N4_B4</t>
        </is>
      </c>
      <c r="AA1" t="inlineStr">
        <is>
          <t>Atv1_B4</t>
        </is>
      </c>
      <c r="AB1" t="inlineStr">
        <is>
          <t>Atv2_B4</t>
        </is>
      </c>
      <c r="AC1" t="inlineStr">
        <is>
          <t>Media_B4</t>
        </is>
      </c>
      <c r="AD1" t="inlineStr">
        <is>
          <t>Media_Anual</t>
        </is>
      </c>
      <c r="AE1" t="inlineStr">
        <is>
          <t>Status</t>
        </is>
      </c>
    </row>
    <row r="2">
      <c r="A2" t="inlineStr">
        <is>
          <t>ÁGATA THALITA PACHECO DA SILVA SOUZA</t>
        </is>
      </c>
      <c r="H2">
        <f>IFERROR(MIN(MROUND((((LARGE(B2:D2,1)+LARGE(B2:D2,2)+E2)/3)+F2+G2), 0.5), 10), 0)</f>
        <v/>
      </c>
      <c r="O2">
        <f>IFERROR(MIN(MROUND((((LARGE(I2:K2,1)+LARGE(I2:K2,2)+L2)/3)+M2+N2), 0.5), 10), 0)</f>
        <v/>
      </c>
      <c r="V2">
        <f>IFERROR(MIN(MROUND((((LARGE(P2:R2,1)+LARGE(P2:R2,2)+S2)/3)+T2+U2), 0.5), 10), 0)</f>
        <v/>
      </c>
      <c r="AC2">
        <f>IFERROR(MIN(MROUND((((LARGE(W2:Y2,1)+LARGE(W2:Y2,2)+Z2)/3)+AA2+AB2), 0.5), 10), 0)</f>
        <v/>
      </c>
      <c r="AD2">
        <f>MROUND(IF(O2=0,H2,IF(V2=0,AVERAGE(H2,O2),IF(AC2=0,AVERAGE(H2,O2,V2),AVERAGE(H2,O2,V2,AC2)))), 0.5)</f>
        <v/>
      </c>
      <c r="AE2">
        <f>IF(AD2&gt;=6,"Aprovado","Exame")</f>
        <v/>
      </c>
    </row>
    <row r="3">
      <c r="A3" t="inlineStr">
        <is>
          <t>ALEXANDRE DURAN DA SILVA</t>
        </is>
      </c>
      <c r="H3">
        <f>IFERROR(MIN(MROUND((((LARGE(B3:D3,1)+LARGE(B3:D3,2)+E3)/3)+F3+G3), 0.5), 10), 0)</f>
        <v/>
      </c>
      <c r="O3">
        <f>IFERROR(MIN(MROUND((((LARGE(I3:K3,1)+LARGE(I3:K3,2)+L3)/3)+M3+N3), 0.5), 10), 0)</f>
        <v/>
      </c>
      <c r="V3">
        <f>IFERROR(MIN(MROUND((((LARGE(P3:R3,1)+LARGE(P3:R3,2)+S3)/3)+T3+U3), 0.5), 10), 0)</f>
        <v/>
      </c>
      <c r="AC3">
        <f>IFERROR(MIN(MROUND((((LARGE(W3:Y3,1)+LARGE(W3:Y3,2)+Z3)/3)+AA3+AB3), 0.5), 10), 0)</f>
        <v/>
      </c>
      <c r="AD3">
        <f>MROUND(IF(O3=0,H3,IF(V3=0,AVERAGE(H3,O3),IF(AC3=0,AVERAGE(H3,O3,V3),AVERAGE(H3,O3,V3,AC3)))), 0.5)</f>
        <v/>
      </c>
      <c r="AE3">
        <f>IF(AD3&gt;=6,"Aprovado","Exame")</f>
        <v/>
      </c>
    </row>
    <row r="4">
      <c r="A4" t="inlineStr">
        <is>
          <t>ANTHONNY RICARDO CARDOSO DE SOUZA</t>
        </is>
      </c>
      <c r="H4">
        <f>IFERROR(MIN(MROUND((((LARGE(B4:D4,1)+LARGE(B4:D4,2)+E4)/3)+F4+G4), 0.5), 10), 0)</f>
        <v/>
      </c>
      <c r="O4">
        <f>IFERROR(MIN(MROUND((((LARGE(I4:K4,1)+LARGE(I4:K4,2)+L4)/3)+M4+N4), 0.5), 10), 0)</f>
        <v/>
      </c>
      <c r="V4">
        <f>IFERROR(MIN(MROUND((((LARGE(P4:R4,1)+LARGE(P4:R4,2)+S4)/3)+T4+U4), 0.5), 10), 0)</f>
        <v/>
      </c>
      <c r="AC4">
        <f>IFERROR(MIN(MROUND((((LARGE(W4:Y4,1)+LARGE(W4:Y4,2)+Z4)/3)+AA4+AB4), 0.5), 10), 0)</f>
        <v/>
      </c>
      <c r="AD4">
        <f>MROUND(IF(O4=0,H4,IF(V4=0,AVERAGE(H4,O4),IF(AC4=0,AVERAGE(H4,O4,V4),AVERAGE(H4,O4,V4,AC4)))), 0.5)</f>
        <v/>
      </c>
      <c r="AE4">
        <f>IF(AD4&gt;=6,"Aprovado","Exame")</f>
        <v/>
      </c>
    </row>
    <row r="5">
      <c r="A5" t="inlineStr">
        <is>
          <t>ANTONIO LUIZ FRAGA MOREIRA NETO</t>
        </is>
      </c>
      <c r="H5">
        <f>IFERROR(MIN(MROUND((((LARGE(B5:D5,1)+LARGE(B5:D5,2)+E5)/3)+F5+G5), 0.5), 10), 0)</f>
        <v/>
      </c>
      <c r="O5">
        <f>IFERROR(MIN(MROUND((((LARGE(I5:K5,1)+LARGE(I5:K5,2)+L5)/3)+M5+N5), 0.5), 10), 0)</f>
        <v/>
      </c>
      <c r="V5">
        <f>IFERROR(MIN(MROUND((((LARGE(P5:R5,1)+LARGE(P5:R5,2)+S5)/3)+T5+U5), 0.5), 10), 0)</f>
        <v/>
      </c>
      <c r="AC5">
        <f>IFERROR(MIN(MROUND((((LARGE(W5:Y5,1)+LARGE(W5:Y5,2)+Z5)/3)+AA5+AB5), 0.5), 10), 0)</f>
        <v/>
      </c>
      <c r="AD5">
        <f>MROUND(IF(O5=0,H5,IF(V5=0,AVERAGE(H5,O5),IF(AC5=0,AVERAGE(H5,O5,V5),AVERAGE(H5,O5,V5,AC5)))), 0.5)</f>
        <v/>
      </c>
      <c r="AE5">
        <f>IF(AD5&gt;=6,"Aprovado","Exame")</f>
        <v/>
      </c>
    </row>
    <row r="6">
      <c r="A6" t="inlineStr">
        <is>
          <t>ARTHUR EVANGELISTA DE SOUZA QUEVEDO</t>
        </is>
      </c>
      <c r="H6">
        <f>IFERROR(MIN(MROUND((((LARGE(B6:D6,1)+LARGE(B6:D6,2)+E6)/3)+F6+G6), 0.5), 10), 0)</f>
        <v/>
      </c>
      <c r="O6">
        <f>IFERROR(MIN(MROUND((((LARGE(I6:K6,1)+LARGE(I6:K6,2)+L6)/3)+M6+N6), 0.5), 10), 0)</f>
        <v/>
      </c>
      <c r="V6">
        <f>IFERROR(MIN(MROUND((((LARGE(P6:R6,1)+LARGE(P6:R6,2)+S6)/3)+T6+U6), 0.5), 10), 0)</f>
        <v/>
      </c>
      <c r="AC6">
        <f>IFERROR(MIN(MROUND((((LARGE(W6:Y6,1)+LARGE(W6:Y6,2)+Z6)/3)+AA6+AB6), 0.5), 10), 0)</f>
        <v/>
      </c>
      <c r="AD6">
        <f>MROUND(IF(O6=0,H6,IF(V6=0,AVERAGE(H6,O6),IF(AC6=0,AVERAGE(H6,O6,V6),AVERAGE(H6,O6,V6,AC6)))), 0.5)</f>
        <v/>
      </c>
      <c r="AE6">
        <f>IF(AD6&gt;=6,"Aprovado","Exame")</f>
        <v/>
      </c>
    </row>
    <row r="7">
      <c r="A7" t="inlineStr">
        <is>
          <t>BEATRIZ MOREIRA DE FREITAS</t>
        </is>
      </c>
      <c r="H7">
        <f>IFERROR(MIN(MROUND((((LARGE(B7:D7,1)+LARGE(B7:D7,2)+E7)/3)+F7+G7), 0.5), 10), 0)</f>
        <v/>
      </c>
      <c r="O7">
        <f>IFERROR(MIN(MROUND((((LARGE(I7:K7,1)+LARGE(I7:K7,2)+L7)/3)+M7+N7), 0.5), 10), 0)</f>
        <v/>
      </c>
      <c r="V7">
        <f>IFERROR(MIN(MROUND((((LARGE(P7:R7,1)+LARGE(P7:R7,2)+S7)/3)+T7+U7), 0.5), 10), 0)</f>
        <v/>
      </c>
      <c r="AC7">
        <f>IFERROR(MIN(MROUND((((LARGE(W7:Y7,1)+LARGE(W7:Y7,2)+Z7)/3)+AA7+AB7), 0.5), 10), 0)</f>
        <v/>
      </c>
      <c r="AD7">
        <f>MROUND(IF(O7=0,H7,IF(V7=0,AVERAGE(H7,O7),IF(AC7=0,AVERAGE(H7,O7,V7),AVERAGE(H7,O7,V7,AC7)))), 0.5)</f>
        <v/>
      </c>
      <c r="AE7">
        <f>IF(AD7&gt;=6,"Aprovado","Exame")</f>
        <v/>
      </c>
    </row>
    <row r="8">
      <c r="A8" t="inlineStr">
        <is>
          <t>BRENO ANUNCIAÇÃO ADORNO</t>
        </is>
      </c>
      <c r="H8">
        <f>IFERROR(MIN(MROUND((((LARGE(B8:D8,1)+LARGE(B8:D8,2)+E8)/3)+F8+G8), 0.5), 10), 0)</f>
        <v/>
      </c>
      <c r="O8">
        <f>IFERROR(MIN(MROUND((((LARGE(I8:K8,1)+LARGE(I8:K8,2)+L8)/3)+M8+N8), 0.5), 10), 0)</f>
        <v/>
      </c>
      <c r="V8">
        <f>IFERROR(MIN(MROUND((((LARGE(P8:R8,1)+LARGE(P8:R8,2)+S8)/3)+T8+U8), 0.5), 10), 0)</f>
        <v/>
      </c>
      <c r="AC8">
        <f>IFERROR(MIN(MROUND((((LARGE(W8:Y8,1)+LARGE(W8:Y8,2)+Z8)/3)+AA8+AB8), 0.5), 10), 0)</f>
        <v/>
      </c>
      <c r="AD8">
        <f>MROUND(IF(O8=0,H8,IF(V8=0,AVERAGE(H8,O8),IF(AC8=0,AVERAGE(H8,O8,V8),AVERAGE(H8,O8,V8,AC8)))), 0.5)</f>
        <v/>
      </c>
      <c r="AE8">
        <f>IF(AD8&gt;=6,"Aprovado","Exame")</f>
        <v/>
      </c>
    </row>
    <row r="9">
      <c r="A9" t="inlineStr">
        <is>
          <t>CARLOS MAGNO DA LUZ ANIZ</t>
        </is>
      </c>
      <c r="H9">
        <f>IFERROR(MIN(MROUND((((LARGE(B9:D9,1)+LARGE(B9:D9,2)+E9)/3)+F9+G9), 0.5), 10), 0)</f>
        <v/>
      </c>
      <c r="O9">
        <f>IFERROR(MIN(MROUND((((LARGE(I9:K9,1)+LARGE(I9:K9,2)+L9)/3)+M9+N9), 0.5), 10), 0)</f>
        <v/>
      </c>
      <c r="V9">
        <f>IFERROR(MIN(MROUND((((LARGE(P9:R9,1)+LARGE(P9:R9,2)+S9)/3)+T9+U9), 0.5), 10), 0)</f>
        <v/>
      </c>
      <c r="AC9">
        <f>IFERROR(MIN(MROUND((((LARGE(W9:Y9,1)+LARGE(W9:Y9,2)+Z9)/3)+AA9+AB9), 0.5), 10), 0)</f>
        <v/>
      </c>
      <c r="AD9">
        <f>MROUND(IF(O9=0,H9,IF(V9=0,AVERAGE(H9,O9),IF(AC9=0,AVERAGE(H9,O9,V9),AVERAGE(H9,O9,V9,AC9)))), 0.5)</f>
        <v/>
      </c>
      <c r="AE9">
        <f>IF(AD9&gt;=6,"Aprovado","Exame")</f>
        <v/>
      </c>
    </row>
    <row r="10">
      <c r="A10" t="inlineStr">
        <is>
          <t>CHARLES JOAQUIM SILVA BARROS</t>
        </is>
      </c>
      <c r="H10">
        <f>IFERROR(MIN(MROUND((((LARGE(B10:D10,1)+LARGE(B10:D10,2)+E10)/3)+F10+G10), 0.5), 10), 0)</f>
        <v/>
      </c>
      <c r="O10">
        <f>IFERROR(MIN(MROUND((((LARGE(I10:K10,1)+LARGE(I10:K10,2)+L10)/3)+M10+N10), 0.5), 10), 0)</f>
        <v/>
      </c>
      <c r="V10">
        <f>IFERROR(MIN(MROUND((((LARGE(P10:R10,1)+LARGE(P10:R10,2)+S10)/3)+T10+U10), 0.5), 10), 0)</f>
        <v/>
      </c>
      <c r="AC10">
        <f>IFERROR(MIN(MROUND((((LARGE(W10:Y10,1)+LARGE(W10:Y10,2)+Z10)/3)+AA10+AB10), 0.5), 10), 0)</f>
        <v/>
      </c>
      <c r="AD10">
        <f>MROUND(IF(O10=0,H10,IF(V10=0,AVERAGE(H10,O10),IF(AC10=0,AVERAGE(H10,O10,V10),AVERAGE(H10,O10,V10,AC10)))), 0.5)</f>
        <v/>
      </c>
      <c r="AE10">
        <f>IF(AD10&gt;=6,"Aprovado","Exame")</f>
        <v/>
      </c>
    </row>
    <row r="11">
      <c r="A11" t="inlineStr">
        <is>
          <t>EMANUEL DA SILVA SANTOS</t>
        </is>
      </c>
      <c r="H11">
        <f>IFERROR(MIN(MROUND((((LARGE(B11:D11,1)+LARGE(B11:D11,2)+E11)/3)+F11+G11), 0.5), 10), 0)</f>
        <v/>
      </c>
      <c r="O11">
        <f>IFERROR(MIN(MROUND((((LARGE(I11:K11,1)+LARGE(I11:K11,2)+L11)/3)+M11+N11), 0.5), 10), 0)</f>
        <v/>
      </c>
      <c r="V11">
        <f>IFERROR(MIN(MROUND((((LARGE(P11:R11,1)+LARGE(P11:R11,2)+S11)/3)+T11+U11), 0.5), 10), 0)</f>
        <v/>
      </c>
      <c r="AC11">
        <f>IFERROR(MIN(MROUND((((LARGE(W11:Y11,1)+LARGE(W11:Y11,2)+Z11)/3)+AA11+AB11), 0.5), 10), 0)</f>
        <v/>
      </c>
      <c r="AD11">
        <f>MROUND(IF(O11=0,H11,IF(V11=0,AVERAGE(H11,O11),IF(AC11=0,AVERAGE(H11,O11,V11),AVERAGE(H11,O11,V11,AC11)))), 0.5)</f>
        <v/>
      </c>
      <c r="AE11">
        <f>IF(AD11&gt;=6,"Aprovado","Exame")</f>
        <v/>
      </c>
    </row>
    <row r="12">
      <c r="A12" t="inlineStr">
        <is>
          <t>FERNANDA SABIONI RIBAS</t>
        </is>
      </c>
      <c r="H12">
        <f>IFERROR(MIN(MROUND((((LARGE(B12:D12,1)+LARGE(B12:D12,2)+E12)/3)+F12+G12), 0.5), 10), 0)</f>
        <v/>
      </c>
      <c r="O12">
        <f>IFERROR(MIN(MROUND((((LARGE(I12:K12,1)+LARGE(I12:K12,2)+L12)/3)+M12+N12), 0.5), 10), 0)</f>
        <v/>
      </c>
      <c r="V12">
        <f>IFERROR(MIN(MROUND((((LARGE(P12:R12,1)+LARGE(P12:R12,2)+S12)/3)+T12+U12), 0.5), 10), 0)</f>
        <v/>
      </c>
      <c r="AC12">
        <f>IFERROR(MIN(MROUND((((LARGE(W12:Y12,1)+LARGE(W12:Y12,2)+Z12)/3)+AA12+AB12), 0.5), 10), 0)</f>
        <v/>
      </c>
      <c r="AD12">
        <f>MROUND(IF(O12=0,H12,IF(V12=0,AVERAGE(H12,O12),IF(AC12=0,AVERAGE(H12,O12,V12),AVERAGE(H12,O12,V12,AC12)))), 0.5)</f>
        <v/>
      </c>
      <c r="AE12">
        <f>IF(AD12&gt;=6,"Aprovado","Exame")</f>
        <v/>
      </c>
    </row>
    <row r="13">
      <c r="A13" t="inlineStr">
        <is>
          <t>GIOVANA MAIA ALVES</t>
        </is>
      </c>
      <c r="H13">
        <f>IFERROR(MIN(MROUND((((LARGE(B13:D13,1)+LARGE(B13:D13,2)+E13)/3)+F13+G13), 0.5), 10), 0)</f>
        <v/>
      </c>
      <c r="O13">
        <f>IFERROR(MIN(MROUND((((LARGE(I13:K13,1)+LARGE(I13:K13,2)+L13)/3)+M13+N13), 0.5), 10), 0)</f>
        <v/>
      </c>
      <c r="V13">
        <f>IFERROR(MIN(MROUND((((LARGE(P13:R13,1)+LARGE(P13:R13,2)+S13)/3)+T13+U13), 0.5), 10), 0)</f>
        <v/>
      </c>
      <c r="AC13">
        <f>IFERROR(MIN(MROUND((((LARGE(W13:Y13,1)+LARGE(W13:Y13,2)+Z13)/3)+AA13+AB13), 0.5), 10), 0)</f>
        <v/>
      </c>
      <c r="AD13">
        <f>MROUND(IF(O13=0,H13,IF(V13=0,AVERAGE(H13,O13),IF(AC13=0,AVERAGE(H13,O13,V13),AVERAGE(H13,O13,V13,AC13)))), 0.5)</f>
        <v/>
      </c>
      <c r="AE13">
        <f>IF(AD13&gt;=6,"Aprovado","Exame")</f>
        <v/>
      </c>
    </row>
    <row r="14">
      <c r="A14" t="inlineStr">
        <is>
          <t>GIOVANNA DA SILVA ANDRADE</t>
        </is>
      </c>
      <c r="H14">
        <f>IFERROR(MIN(MROUND((((LARGE(B14:D14,1)+LARGE(B14:D14,2)+E14)/3)+F14+G14), 0.5), 10), 0)</f>
        <v/>
      </c>
      <c r="O14">
        <f>IFERROR(MIN(MROUND((((LARGE(I14:K14,1)+LARGE(I14:K14,2)+L14)/3)+M14+N14), 0.5), 10), 0)</f>
        <v/>
      </c>
      <c r="V14">
        <f>IFERROR(MIN(MROUND((((LARGE(P14:R14,1)+LARGE(P14:R14,2)+S14)/3)+T14+U14), 0.5), 10), 0)</f>
        <v/>
      </c>
      <c r="AC14">
        <f>IFERROR(MIN(MROUND((((LARGE(W14:Y14,1)+LARGE(W14:Y14,2)+Z14)/3)+AA14+AB14), 0.5), 10), 0)</f>
        <v/>
      </c>
      <c r="AD14">
        <f>MROUND(IF(O14=0,H14,IF(V14=0,AVERAGE(H14,O14),IF(AC14=0,AVERAGE(H14,O14,V14),AVERAGE(H14,O14,V14,AC14)))), 0.5)</f>
        <v/>
      </c>
      <c r="AE14">
        <f>IF(AD14&gt;=6,"Aprovado","Exame")</f>
        <v/>
      </c>
    </row>
    <row r="15">
      <c r="A15" t="inlineStr">
        <is>
          <t>GUILHERME LACERDA DE LIMA</t>
        </is>
      </c>
      <c r="H15">
        <f>IFERROR(MIN(MROUND((((LARGE(B15:D15,1)+LARGE(B15:D15,2)+E15)/3)+F15+G15), 0.5), 10), 0)</f>
        <v/>
      </c>
      <c r="O15">
        <f>IFERROR(MIN(MROUND((((LARGE(I15:K15,1)+LARGE(I15:K15,2)+L15)/3)+M15+N15), 0.5), 10), 0)</f>
        <v/>
      </c>
      <c r="V15">
        <f>IFERROR(MIN(MROUND((((LARGE(P15:R15,1)+LARGE(P15:R15,2)+S15)/3)+T15+U15), 0.5), 10), 0)</f>
        <v/>
      </c>
      <c r="AC15">
        <f>IFERROR(MIN(MROUND((((LARGE(W15:Y15,1)+LARGE(W15:Y15,2)+Z15)/3)+AA15+AB15), 0.5), 10), 0)</f>
        <v/>
      </c>
      <c r="AD15">
        <f>MROUND(IF(O15=0,H15,IF(V15=0,AVERAGE(H15,O15),IF(AC15=0,AVERAGE(H15,O15,V15),AVERAGE(H15,O15,V15,AC15)))), 0.5)</f>
        <v/>
      </c>
      <c r="AE15">
        <f>IF(AD15&gt;=6,"Aprovado","Exame")</f>
        <v/>
      </c>
    </row>
    <row r="16">
      <c r="A16" t="inlineStr">
        <is>
          <t>HEITOR DORNELES DE ARAÚJO</t>
        </is>
      </c>
      <c r="H16">
        <f>IFERROR(MIN(MROUND((((LARGE(B16:D16,1)+LARGE(B16:D16,2)+E16)/3)+F16+G16), 0.5), 10), 0)</f>
        <v/>
      </c>
      <c r="O16">
        <f>IFERROR(MIN(MROUND((((LARGE(I16:K16,1)+LARGE(I16:K16,2)+L16)/3)+M16+N16), 0.5), 10), 0)</f>
        <v/>
      </c>
      <c r="V16">
        <f>IFERROR(MIN(MROUND((((LARGE(P16:R16,1)+LARGE(P16:R16,2)+S16)/3)+T16+U16), 0.5), 10), 0)</f>
        <v/>
      </c>
      <c r="AC16">
        <f>IFERROR(MIN(MROUND((((LARGE(W16:Y16,1)+LARGE(W16:Y16,2)+Z16)/3)+AA16+AB16), 0.5), 10), 0)</f>
        <v/>
      </c>
      <c r="AD16">
        <f>MROUND(IF(O16=0,H16,IF(V16=0,AVERAGE(H16,O16),IF(AC16=0,AVERAGE(H16,O16,V16),AVERAGE(H16,O16,V16,AC16)))), 0.5)</f>
        <v/>
      </c>
      <c r="AE16">
        <f>IF(AD16&gt;=6,"Aprovado","Exame")</f>
        <v/>
      </c>
    </row>
    <row r="17">
      <c r="A17" t="inlineStr">
        <is>
          <t>ISABELLA RODRIGUES GODINHO</t>
        </is>
      </c>
      <c r="H17">
        <f>IFERROR(MIN(MROUND((((LARGE(B17:D17,1)+LARGE(B17:D17,2)+E17)/3)+F17+G17), 0.5), 10), 0)</f>
        <v/>
      </c>
      <c r="O17">
        <f>IFERROR(MIN(MROUND((((LARGE(I17:K17,1)+LARGE(I17:K17,2)+L17)/3)+M17+N17), 0.5), 10), 0)</f>
        <v/>
      </c>
      <c r="V17">
        <f>IFERROR(MIN(MROUND((((LARGE(P17:R17,1)+LARGE(P17:R17,2)+S17)/3)+T17+U17), 0.5), 10), 0)</f>
        <v/>
      </c>
      <c r="AC17">
        <f>IFERROR(MIN(MROUND((((LARGE(W17:Y17,1)+LARGE(W17:Y17,2)+Z17)/3)+AA17+AB17), 0.5), 10), 0)</f>
        <v/>
      </c>
      <c r="AD17">
        <f>MROUND(IF(O17=0,H17,IF(V17=0,AVERAGE(H17,O17),IF(AC17=0,AVERAGE(H17,O17,V17),AVERAGE(H17,O17,V17,AC17)))), 0.5)</f>
        <v/>
      </c>
      <c r="AE17">
        <f>IF(AD17&gt;=6,"Aprovado","Exame")</f>
        <v/>
      </c>
    </row>
    <row r="18">
      <c r="A18" t="inlineStr">
        <is>
          <t>ISAQUE CAMPOS MOREIRA ZALEWSKI</t>
        </is>
      </c>
      <c r="H18">
        <f>IFERROR(MIN(MROUND((((LARGE(B18:D18,1)+LARGE(B18:D18,2)+E18)/3)+F18+G18), 0.5), 10), 0)</f>
        <v/>
      </c>
      <c r="O18">
        <f>IFERROR(MIN(MROUND((((LARGE(I18:K18,1)+LARGE(I18:K18,2)+L18)/3)+M18+N18), 0.5), 10), 0)</f>
        <v/>
      </c>
      <c r="V18">
        <f>IFERROR(MIN(MROUND((((LARGE(P18:R18,1)+LARGE(P18:R18,2)+S18)/3)+T18+U18), 0.5), 10), 0)</f>
        <v/>
      </c>
      <c r="AC18">
        <f>IFERROR(MIN(MROUND((((LARGE(W18:Y18,1)+LARGE(W18:Y18,2)+Z18)/3)+AA18+AB18), 0.5), 10), 0)</f>
        <v/>
      </c>
      <c r="AD18">
        <f>MROUND(IF(O18=0,H18,IF(V18=0,AVERAGE(H18,O18),IF(AC18=0,AVERAGE(H18,O18,V18),AVERAGE(H18,O18,V18,AC18)))), 0.5)</f>
        <v/>
      </c>
      <c r="AE18">
        <f>IF(AD18&gt;=6,"Aprovado","Exame")</f>
        <v/>
      </c>
    </row>
    <row r="19">
      <c r="A19" t="inlineStr">
        <is>
          <t>IZABELA CRISTALDO REZENDE</t>
        </is>
      </c>
      <c r="H19">
        <f>IFERROR(MIN(MROUND((((LARGE(B19:D19,1)+LARGE(B19:D19,2)+E19)/3)+F19+G19), 0.5), 10), 0)</f>
        <v/>
      </c>
      <c r="O19">
        <f>IFERROR(MIN(MROUND((((LARGE(I19:K19,1)+LARGE(I19:K19,2)+L19)/3)+M19+N19), 0.5), 10), 0)</f>
        <v/>
      </c>
      <c r="V19">
        <f>IFERROR(MIN(MROUND((((LARGE(P19:R19,1)+LARGE(P19:R19,2)+S19)/3)+T19+U19), 0.5), 10), 0)</f>
        <v/>
      </c>
      <c r="AC19">
        <f>IFERROR(MIN(MROUND((((LARGE(W19:Y19,1)+LARGE(W19:Y19,2)+Z19)/3)+AA19+AB19), 0.5), 10), 0)</f>
        <v/>
      </c>
      <c r="AD19">
        <f>MROUND(IF(O19=0,H19,IF(V19=0,AVERAGE(H19,O19),IF(AC19=0,AVERAGE(H19,O19,V19),AVERAGE(H19,O19,V19,AC19)))), 0.5)</f>
        <v/>
      </c>
      <c r="AE19">
        <f>IF(AD19&gt;=6,"Aprovado","Exame")</f>
        <v/>
      </c>
    </row>
    <row r="20">
      <c r="A20" t="inlineStr">
        <is>
          <t>JULIA PUERTAS LOPES</t>
        </is>
      </c>
      <c r="H20">
        <f>IFERROR(MIN(MROUND((((LARGE(B20:D20,1)+LARGE(B20:D20,2)+E20)/3)+F20+G20), 0.5), 10), 0)</f>
        <v/>
      </c>
      <c r="O20">
        <f>IFERROR(MIN(MROUND((((LARGE(I20:K20,1)+LARGE(I20:K20,2)+L20)/3)+M20+N20), 0.5), 10), 0)</f>
        <v/>
      </c>
      <c r="V20">
        <f>IFERROR(MIN(MROUND((((LARGE(P20:R20,1)+LARGE(P20:R20,2)+S20)/3)+T20+U20), 0.5), 10), 0)</f>
        <v/>
      </c>
      <c r="AC20">
        <f>IFERROR(MIN(MROUND((((LARGE(W20:Y20,1)+LARGE(W20:Y20,2)+Z20)/3)+AA20+AB20), 0.5), 10), 0)</f>
        <v/>
      </c>
      <c r="AD20">
        <f>MROUND(IF(O20=0,H20,IF(V20=0,AVERAGE(H20,O20),IF(AC20=0,AVERAGE(H20,O20,V20),AVERAGE(H20,O20,V20,AC20)))), 0.5)</f>
        <v/>
      </c>
      <c r="AE20">
        <f>IF(AD20&gt;=6,"Aprovado","Exame")</f>
        <v/>
      </c>
    </row>
    <row r="21">
      <c r="A21" t="inlineStr">
        <is>
          <t>JULIA YASMIM DE SOUZA LEÃO</t>
        </is>
      </c>
      <c r="H21">
        <f>IFERROR(MIN(MROUND((((LARGE(B21:D21,1)+LARGE(B21:D21,2)+E21)/3)+F21+G21), 0.5), 10), 0)</f>
        <v/>
      </c>
      <c r="O21">
        <f>IFERROR(MIN(MROUND((((LARGE(I21:K21,1)+LARGE(I21:K21,2)+L21)/3)+M21+N21), 0.5), 10), 0)</f>
        <v/>
      </c>
      <c r="V21">
        <f>IFERROR(MIN(MROUND((((LARGE(P21:R21,1)+LARGE(P21:R21,2)+S21)/3)+T21+U21), 0.5), 10), 0)</f>
        <v/>
      </c>
      <c r="AC21">
        <f>IFERROR(MIN(MROUND((((LARGE(W21:Y21,1)+LARGE(W21:Y21,2)+Z21)/3)+AA21+AB21), 0.5), 10), 0)</f>
        <v/>
      </c>
      <c r="AD21">
        <f>MROUND(IF(O21=0,H21,IF(V21=0,AVERAGE(H21,O21),IF(AC21=0,AVERAGE(H21,O21,V21),AVERAGE(H21,O21,V21,AC21)))), 0.5)</f>
        <v/>
      </c>
      <c r="AE21">
        <f>IF(AD21&gt;=6,"Aprovado","Exame")</f>
        <v/>
      </c>
    </row>
    <row r="22">
      <c r="A22" t="inlineStr">
        <is>
          <t>LUISA FONSECA GOMES</t>
        </is>
      </c>
      <c r="H22">
        <f>IFERROR(MIN(MROUND((((LARGE(B22:D22,1)+LARGE(B22:D22,2)+E22)/3)+F22+G22), 0.5), 10), 0)</f>
        <v/>
      </c>
      <c r="O22">
        <f>IFERROR(MIN(MROUND((((LARGE(I22:K22,1)+LARGE(I22:K22,2)+L22)/3)+M22+N22), 0.5), 10), 0)</f>
        <v/>
      </c>
      <c r="V22">
        <f>IFERROR(MIN(MROUND((((LARGE(P22:R22,1)+LARGE(P22:R22,2)+S22)/3)+T22+U22), 0.5), 10), 0)</f>
        <v/>
      </c>
      <c r="AC22">
        <f>IFERROR(MIN(MROUND((((LARGE(W22:Y22,1)+LARGE(W22:Y22,2)+Z22)/3)+AA22+AB22), 0.5), 10), 0)</f>
        <v/>
      </c>
      <c r="AD22">
        <f>MROUND(IF(O22=0,H22,IF(V22=0,AVERAGE(H22,O22),IF(AC22=0,AVERAGE(H22,O22,V22),AVERAGE(H22,O22,V22,AC22)))), 0.5)</f>
        <v/>
      </c>
      <c r="AE22">
        <f>IF(AD22&gt;=6,"Aprovado","Exame")</f>
        <v/>
      </c>
    </row>
    <row r="23">
      <c r="A23" t="inlineStr">
        <is>
          <t>LUIZ FERNANDO GAEDICKE</t>
        </is>
      </c>
      <c r="H23">
        <f>IFERROR(MIN(MROUND((((LARGE(B23:D23,1)+LARGE(B23:D23,2)+E23)/3)+F23+G23), 0.5), 10), 0)</f>
        <v/>
      </c>
      <c r="O23">
        <f>IFERROR(MIN(MROUND((((LARGE(I23:K23,1)+LARGE(I23:K23,2)+L23)/3)+M23+N23), 0.5), 10), 0)</f>
        <v/>
      </c>
      <c r="V23">
        <f>IFERROR(MIN(MROUND((((LARGE(P23:R23,1)+LARGE(P23:R23,2)+S23)/3)+T23+U23), 0.5), 10), 0)</f>
        <v/>
      </c>
      <c r="AC23">
        <f>IFERROR(MIN(MROUND((((LARGE(W23:Y23,1)+LARGE(W23:Y23,2)+Z23)/3)+AA23+AB23), 0.5), 10), 0)</f>
        <v/>
      </c>
      <c r="AD23">
        <f>MROUND(IF(O23=0,H23,IF(V23=0,AVERAGE(H23,O23),IF(AC23=0,AVERAGE(H23,O23,V23),AVERAGE(H23,O23,V23,AC23)))), 0.5)</f>
        <v/>
      </c>
      <c r="AE23">
        <f>IF(AD23&gt;=6,"Aprovado","Exame")</f>
        <v/>
      </c>
    </row>
    <row r="24">
      <c r="A24" t="inlineStr">
        <is>
          <t>MARIA ISABELA ARAUJO GONÇALVES RUIZ (RM-01/04/2026 para 2º Ano A -CHS)</t>
        </is>
      </c>
      <c r="H24">
        <f>IFERROR(MIN(MROUND((((LARGE(B24:D24,1)+LARGE(B24:D24,2)+E24)/3)+F24+G24), 0.5), 10), 0)</f>
        <v/>
      </c>
      <c r="O24">
        <f>IFERROR(MIN(MROUND((((LARGE(I24:K24,1)+LARGE(I24:K24,2)+L24)/3)+M24+N24), 0.5), 10), 0)</f>
        <v/>
      </c>
      <c r="V24">
        <f>IFERROR(MIN(MROUND((((LARGE(P24:R24,1)+LARGE(P24:R24,2)+S24)/3)+T24+U24), 0.5), 10), 0)</f>
        <v/>
      </c>
      <c r="AC24">
        <f>IFERROR(MIN(MROUND((((LARGE(W24:Y24,1)+LARGE(W24:Y24,2)+Z24)/3)+AA24+AB24), 0.5), 10), 0)</f>
        <v/>
      </c>
      <c r="AD24">
        <f>MROUND(IF(O24=0,H24,IF(V24=0,AVERAGE(H24,O24),IF(AC24=0,AVERAGE(H24,O24,V24),AVERAGE(H24,O24,V24,AC24)))), 0.5)</f>
        <v/>
      </c>
      <c r="AE24">
        <f>IF(AD24&gt;=6,"Aprovado","Exame")</f>
        <v/>
      </c>
    </row>
    <row r="25">
      <c r="A25" t="inlineStr">
        <is>
          <t>MARIA VITORIA SOUZA DA SILVA</t>
        </is>
      </c>
      <c r="H25">
        <f>IFERROR(MIN(MROUND((((LARGE(B25:D25,1)+LARGE(B25:D25,2)+E25)/3)+F25+G25), 0.5), 10), 0)</f>
        <v/>
      </c>
      <c r="O25">
        <f>IFERROR(MIN(MROUND((((LARGE(I25:K25,1)+LARGE(I25:K25,2)+L25)/3)+M25+N25), 0.5), 10), 0)</f>
        <v/>
      </c>
      <c r="V25">
        <f>IFERROR(MIN(MROUND((((LARGE(P25:R25,1)+LARGE(P25:R25,2)+S25)/3)+T25+U25), 0.5), 10), 0)</f>
        <v/>
      </c>
      <c r="AC25">
        <f>IFERROR(MIN(MROUND((((LARGE(W25:Y25,1)+LARGE(W25:Y25,2)+Z25)/3)+AA25+AB25), 0.5), 10), 0)</f>
        <v/>
      </c>
      <c r="AD25">
        <f>MROUND(IF(O25=0,H25,IF(V25=0,AVERAGE(H25,O25),IF(AC25=0,AVERAGE(H25,O25,V25),AVERAGE(H25,O25,V25,AC25)))), 0.5)</f>
        <v/>
      </c>
      <c r="AE25">
        <f>IF(AD25&gt;=6,"Aprovado","Exame")</f>
        <v/>
      </c>
    </row>
    <row r="26">
      <c r="A26" t="inlineStr">
        <is>
          <t>PEDRO HENRIQUE COSTA DIAS</t>
        </is>
      </c>
      <c r="H26">
        <f>IFERROR(MIN(MROUND((((LARGE(B26:D26,1)+LARGE(B26:D26,2)+E26)/3)+F26+G26), 0.5), 10), 0)</f>
        <v/>
      </c>
      <c r="O26">
        <f>IFERROR(MIN(MROUND((((LARGE(I26:K26,1)+LARGE(I26:K26,2)+L26)/3)+M26+N26), 0.5), 10), 0)</f>
        <v/>
      </c>
      <c r="V26">
        <f>IFERROR(MIN(MROUND((((LARGE(P26:R26,1)+LARGE(P26:R26,2)+S26)/3)+T26+U26), 0.5), 10), 0)</f>
        <v/>
      </c>
      <c r="AC26">
        <f>IFERROR(MIN(MROUND((((LARGE(W26:Y26,1)+LARGE(W26:Y26,2)+Z26)/3)+AA26+AB26), 0.5), 10), 0)</f>
        <v/>
      </c>
      <c r="AD26">
        <f>MROUND(IF(O26=0,H26,IF(V26=0,AVERAGE(H26,O26),IF(AC26=0,AVERAGE(H26,O26,V26),AVERAGE(H26,O26,V26,AC26)))), 0.5)</f>
        <v/>
      </c>
      <c r="AE26">
        <f>IF(AD26&gt;=6,"Aprovado","Exame")</f>
        <v/>
      </c>
    </row>
    <row r="27">
      <c r="A27" t="inlineStr">
        <is>
          <t>RENATO CAMPOS ROHVEDDER</t>
        </is>
      </c>
      <c r="H27">
        <f>IFERROR(MIN(MROUND((((LARGE(B27:D27,1)+LARGE(B27:D27,2)+E27)/3)+F27+G27), 0.5), 10), 0)</f>
        <v/>
      </c>
      <c r="O27">
        <f>IFERROR(MIN(MROUND((((LARGE(I27:K27,1)+LARGE(I27:K27,2)+L27)/3)+M27+N27), 0.5), 10), 0)</f>
        <v/>
      </c>
      <c r="V27">
        <f>IFERROR(MIN(MROUND((((LARGE(P27:R27,1)+LARGE(P27:R27,2)+S27)/3)+T27+U27), 0.5), 10), 0)</f>
        <v/>
      </c>
      <c r="AC27">
        <f>IFERROR(MIN(MROUND((((LARGE(W27:Y27,1)+LARGE(W27:Y27,2)+Z27)/3)+AA27+AB27), 0.5), 10), 0)</f>
        <v/>
      </c>
      <c r="AD27">
        <f>MROUND(IF(O27=0,H27,IF(V27=0,AVERAGE(H27,O27),IF(AC27=0,AVERAGE(H27,O27,V27),AVERAGE(H27,O27,V27,AC27)))), 0.5)</f>
        <v/>
      </c>
      <c r="AE27">
        <f>IF(AD27&gt;=6,"Aprovado","Exame")</f>
        <v/>
      </c>
    </row>
    <row r="28">
      <c r="A28" t="inlineStr">
        <is>
          <t>ROBERT MENEGON TORRES GONZALEZ</t>
        </is>
      </c>
      <c r="H28">
        <f>IFERROR(MIN(MROUND((((LARGE(B28:D28,1)+LARGE(B28:D28,2)+E28)/3)+F28+G28), 0.5), 10), 0)</f>
        <v/>
      </c>
      <c r="O28">
        <f>IFERROR(MIN(MROUND((((LARGE(I28:K28,1)+LARGE(I28:K28,2)+L28)/3)+M28+N28), 0.5), 10), 0)</f>
        <v/>
      </c>
      <c r="V28">
        <f>IFERROR(MIN(MROUND((((LARGE(P28:R28,1)+LARGE(P28:R28,2)+S28)/3)+T28+U28), 0.5), 10), 0)</f>
        <v/>
      </c>
      <c r="AC28">
        <f>IFERROR(MIN(MROUND((((LARGE(W28:Y28,1)+LARGE(W28:Y28,2)+Z28)/3)+AA28+AB28), 0.5), 10), 0)</f>
        <v/>
      </c>
      <c r="AD28">
        <f>MROUND(IF(O28=0,H28,IF(V28=0,AVERAGE(H28,O28),IF(AC28=0,AVERAGE(H28,O28,V28),AVERAGE(H28,O28,V28,AC28)))), 0.5)</f>
        <v/>
      </c>
      <c r="AE28">
        <f>IF(AD28&gt;=6,"Aprovado","Exame")</f>
        <v/>
      </c>
    </row>
    <row r="29">
      <c r="A29" t="inlineStr">
        <is>
          <t>THEO FAGUNDES DA SILVA (RM-25/03/2026 para 2º Ano B -CHS)</t>
        </is>
      </c>
      <c r="H29">
        <f>IFERROR(MIN(MROUND((((LARGE(B29:D29,1)+LARGE(B29:D29,2)+E29)/3)+F29+G29), 0.5), 10), 0)</f>
        <v/>
      </c>
      <c r="O29">
        <f>IFERROR(MIN(MROUND((((LARGE(I29:K29,1)+LARGE(I29:K29,2)+L29)/3)+M29+N29), 0.5), 10), 0)</f>
        <v/>
      </c>
      <c r="V29">
        <f>IFERROR(MIN(MROUND((((LARGE(P29:R29,1)+LARGE(P29:R29,2)+S29)/3)+T29+U29), 0.5), 10), 0)</f>
        <v/>
      </c>
      <c r="AC29">
        <f>IFERROR(MIN(MROUND((((LARGE(W29:Y29,1)+LARGE(W29:Y29,2)+Z29)/3)+AA29+AB29), 0.5), 10), 0)</f>
        <v/>
      </c>
      <c r="AD29">
        <f>MROUND(IF(O29=0,H29,IF(V29=0,AVERAGE(H29,O29),IF(AC29=0,AVERAGE(H29,O29,V29),AVERAGE(H29,O29,V29,AC29)))), 0.5)</f>
        <v/>
      </c>
      <c r="AE29">
        <f>IF(AD29&gt;=6,"Aprovado","Exame")</f>
        <v/>
      </c>
    </row>
    <row r="30">
      <c r="A30" t="inlineStr">
        <is>
          <t>VALENTINA TEIXEIRA PAGNONCELLI</t>
        </is>
      </c>
      <c r="H30">
        <f>IFERROR(MIN(MROUND((((LARGE(B30:D30,1)+LARGE(B30:D30,2)+E30)/3)+F30+G30), 0.5), 10), 0)</f>
        <v/>
      </c>
      <c r="O30">
        <f>IFERROR(MIN(MROUND((((LARGE(I30:K30,1)+LARGE(I30:K30,2)+L30)/3)+M30+N30), 0.5), 10), 0)</f>
        <v/>
      </c>
      <c r="V30">
        <f>IFERROR(MIN(MROUND((((LARGE(P30:R30,1)+LARGE(P30:R30,2)+S30)/3)+T30+U30), 0.5), 10), 0)</f>
        <v/>
      </c>
      <c r="AC30">
        <f>IFERROR(MIN(MROUND((((LARGE(W30:Y30,1)+LARGE(W30:Y30,2)+Z30)/3)+AA30+AB30), 0.5), 10), 0)</f>
        <v/>
      </c>
      <c r="AD30">
        <f>MROUND(IF(O30=0,H30,IF(V30=0,AVERAGE(H30,O30),IF(AC30=0,AVERAGE(H30,O30,V30),AVERAGE(H30,O30,V30,AC30)))), 0.5)</f>
        <v/>
      </c>
      <c r="AE30">
        <f>IF(AD30&gt;=6,"Aprovado","Exame")</f>
        <v/>
      </c>
    </row>
    <row r="31">
      <c r="A31" t="inlineStr">
        <is>
          <t>RAFAELLA MORAIS BRAMBILLA</t>
        </is>
      </c>
      <c r="H31">
        <f>IFERROR(MIN(MROUND((((LARGE(B31:D31,1)+LARGE(B31:D31,2)+E31)/3)+F31+G31), 0.5), 10), 0)</f>
        <v/>
      </c>
      <c r="O31">
        <f>IFERROR(MIN(MROUND((((LARGE(I31:K31,1)+LARGE(I31:K31,2)+L31)/3)+M31+N31), 0.5), 10), 0)</f>
        <v/>
      </c>
      <c r="V31">
        <f>IFERROR(MIN(MROUND((((LARGE(P31:R31,1)+LARGE(P31:R31,2)+S31)/3)+T31+U31), 0.5), 10), 0)</f>
        <v/>
      </c>
      <c r="AC31">
        <f>IFERROR(MIN(MROUND((((LARGE(W31:Y31,1)+LARGE(W31:Y31,2)+Z31)/3)+AA31+AB31), 0.5), 10), 0)</f>
        <v/>
      </c>
      <c r="AD31">
        <f>MROUND(IF(O31=0,H31,IF(V31=0,AVERAGE(H31,O31),IF(AC31=0,AVERAGE(H31,O31,V31),AVERAGE(H31,O31,V31,AC31)))), 0.5)</f>
        <v/>
      </c>
      <c r="AE31">
        <f>IF(AD31&gt;=6,"Aprovado","Exame")</f>
        <v/>
      </c>
    </row>
    <row r="32">
      <c r="A32" t="inlineStr">
        <is>
          <t>ISADORA PAGANOTTO FERREIRA</t>
        </is>
      </c>
      <c r="H32">
        <f>IFERROR(MIN(MROUND((((LARGE(B32:D32,1)+LARGE(B32:D32,2)+E32)/3)+F32+G32), 0.5), 10), 0)</f>
        <v/>
      </c>
      <c r="O32">
        <f>IFERROR(MIN(MROUND((((LARGE(I32:K32,1)+LARGE(I32:K32,2)+L32)/3)+M32+N32), 0.5), 10), 0)</f>
        <v/>
      </c>
      <c r="V32">
        <f>IFERROR(MIN(MROUND((((LARGE(P32:R32,1)+LARGE(P32:R32,2)+S32)/3)+T32+U32), 0.5), 10), 0)</f>
        <v/>
      </c>
      <c r="AC32">
        <f>IFERROR(MIN(MROUND((((LARGE(W32:Y32,1)+LARGE(W32:Y32,2)+Z32)/3)+AA32+AB32), 0.5), 10), 0)</f>
        <v/>
      </c>
      <c r="AD32">
        <f>MROUND(IF(O32=0,H32,IF(V32=0,AVERAGE(H32,O32),IF(AC32=0,AVERAGE(H32,O32,V32),AVERAGE(H32,O32,V32,AC32)))), 0.5)</f>
        <v/>
      </c>
      <c r="AE32">
        <f>IF(AD32&gt;=6,"Aprovado","Exame")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N1_B1</t>
        </is>
      </c>
      <c r="C1" t="inlineStr">
        <is>
          <t>N2_B1</t>
        </is>
      </c>
      <c r="D1" t="inlineStr">
        <is>
          <t>N3_B1</t>
        </is>
      </c>
      <c r="E1" t="inlineStr">
        <is>
          <t>N4_B1</t>
        </is>
      </c>
      <c r="F1" t="inlineStr">
        <is>
          <t>Atv1_B1</t>
        </is>
      </c>
      <c r="G1" t="inlineStr">
        <is>
          <t>Atv2_B1</t>
        </is>
      </c>
      <c r="H1" t="inlineStr">
        <is>
          <t>Media_B1</t>
        </is>
      </c>
      <c r="I1" t="inlineStr">
        <is>
          <t>N1_B2</t>
        </is>
      </c>
      <c r="J1" t="inlineStr">
        <is>
          <t>N2_B2</t>
        </is>
      </c>
      <c r="K1" t="inlineStr">
        <is>
          <t>N3_B2</t>
        </is>
      </c>
      <c r="L1" t="inlineStr">
        <is>
          <t>N4_B2</t>
        </is>
      </c>
      <c r="M1" t="inlineStr">
        <is>
          <t>Atv1_B2</t>
        </is>
      </c>
      <c r="N1" t="inlineStr">
        <is>
          <t>Atv2_B2</t>
        </is>
      </c>
      <c r="O1" t="inlineStr">
        <is>
          <t>Media_B2</t>
        </is>
      </c>
      <c r="P1" t="inlineStr">
        <is>
          <t>N1_B3</t>
        </is>
      </c>
      <c r="Q1" t="inlineStr">
        <is>
          <t>N2_B3</t>
        </is>
      </c>
      <c r="R1" t="inlineStr">
        <is>
          <t>N3_B3</t>
        </is>
      </c>
      <c r="S1" t="inlineStr">
        <is>
          <t>N4_B3</t>
        </is>
      </c>
      <c r="T1" t="inlineStr">
        <is>
          <t>Atv1_B3</t>
        </is>
      </c>
      <c r="U1" t="inlineStr">
        <is>
          <t>Atv2_B3</t>
        </is>
      </c>
      <c r="V1" t="inlineStr">
        <is>
          <t>Media_B3</t>
        </is>
      </c>
      <c r="W1" t="inlineStr">
        <is>
          <t>N1_B4</t>
        </is>
      </c>
      <c r="X1" t="inlineStr">
        <is>
          <t>N2_B4</t>
        </is>
      </c>
      <c r="Y1" t="inlineStr">
        <is>
          <t>N3_B4</t>
        </is>
      </c>
      <c r="Z1" t="inlineStr">
        <is>
          <t>N4_B4</t>
        </is>
      </c>
      <c r="AA1" t="inlineStr">
        <is>
          <t>Atv1_B4</t>
        </is>
      </c>
      <c r="AB1" t="inlineStr">
        <is>
          <t>Atv2_B4</t>
        </is>
      </c>
      <c r="AC1" t="inlineStr">
        <is>
          <t>Media_B4</t>
        </is>
      </c>
      <c r="AD1" t="inlineStr">
        <is>
          <t>Media_Anual</t>
        </is>
      </c>
      <c r="AE1" t="inlineStr">
        <is>
          <t>Status</t>
        </is>
      </c>
    </row>
    <row r="2">
      <c r="A2" t="inlineStr">
        <is>
          <t>ANA CLARA DE ARRUDA RODRIGUES</t>
        </is>
      </c>
      <c r="H2">
        <f>IFERROR(MIN(MROUND((((LARGE(B2:D2,1)+LARGE(B2:D2,2)+E2)/3)+F2+G2), 0.5), 10), 0)</f>
        <v/>
      </c>
      <c r="O2">
        <f>IFERROR(MIN(MROUND((((LARGE(I2:K2,1)+LARGE(I2:K2,2)+L2)/3)+M2+N2), 0.5), 10), 0)</f>
        <v/>
      </c>
      <c r="V2">
        <f>IFERROR(MIN(MROUND((((LARGE(P2:R2,1)+LARGE(P2:R2,2)+S2)/3)+T2+U2), 0.5), 10), 0)</f>
        <v/>
      </c>
      <c r="AC2">
        <f>IFERROR(MIN(MROUND((((LARGE(W2:Y2,1)+LARGE(W2:Y2,2)+Z2)/3)+AA2+AB2), 0.5), 10), 0)</f>
        <v/>
      </c>
      <c r="AD2">
        <f>MROUND(IF(O2=0,H2,IF(V2=0,AVERAGE(H2,O2),IF(AC2=0,AVERAGE(H2,O2,V2),AVERAGE(H2,O2,V2,AC2)))), 0.5)</f>
        <v/>
      </c>
      <c r="AE2">
        <f>IF(AD2&gt;=6,"Aprovado","Exame")</f>
        <v/>
      </c>
    </row>
    <row r="3">
      <c r="A3" t="inlineStr">
        <is>
          <t>ARTHUR DOS SANTOS DE BRUM</t>
        </is>
      </c>
      <c r="H3">
        <f>IFERROR(MIN(MROUND((((LARGE(B3:D3,1)+LARGE(B3:D3,2)+E3)/3)+F3+G3), 0.5), 10), 0)</f>
        <v/>
      </c>
      <c r="O3">
        <f>IFERROR(MIN(MROUND((((LARGE(I3:K3,1)+LARGE(I3:K3,2)+L3)/3)+M3+N3), 0.5), 10), 0)</f>
        <v/>
      </c>
      <c r="V3">
        <f>IFERROR(MIN(MROUND((((LARGE(P3:R3,1)+LARGE(P3:R3,2)+S3)/3)+T3+U3), 0.5), 10), 0)</f>
        <v/>
      </c>
      <c r="AC3">
        <f>IFERROR(MIN(MROUND((((LARGE(W3:Y3,1)+LARGE(W3:Y3,2)+Z3)/3)+AA3+AB3), 0.5), 10), 0)</f>
        <v/>
      </c>
      <c r="AD3">
        <f>MROUND(IF(O3=0,H3,IF(V3=0,AVERAGE(H3,O3),IF(AC3=0,AVERAGE(H3,O3,V3),AVERAGE(H3,O3,V3,AC3)))), 0.5)</f>
        <v/>
      </c>
      <c r="AE3">
        <f>IF(AD3&gt;=6,"Aprovado","Exame")</f>
        <v/>
      </c>
    </row>
    <row r="4">
      <c r="A4" t="inlineStr">
        <is>
          <t>ARTHUR TEODORO BORGES</t>
        </is>
      </c>
      <c r="H4">
        <f>IFERROR(MIN(MROUND((((LARGE(B4:D4,1)+LARGE(B4:D4,2)+E4)/3)+F4+G4), 0.5), 10), 0)</f>
        <v/>
      </c>
      <c r="O4">
        <f>IFERROR(MIN(MROUND((((LARGE(I4:K4,1)+LARGE(I4:K4,2)+L4)/3)+M4+N4), 0.5), 10), 0)</f>
        <v/>
      </c>
      <c r="V4">
        <f>IFERROR(MIN(MROUND((((LARGE(P4:R4,1)+LARGE(P4:R4,2)+S4)/3)+T4+U4), 0.5), 10), 0)</f>
        <v/>
      </c>
      <c r="AC4">
        <f>IFERROR(MIN(MROUND((((LARGE(W4:Y4,1)+LARGE(W4:Y4,2)+Z4)/3)+AA4+AB4), 0.5), 10), 0)</f>
        <v/>
      </c>
      <c r="AD4">
        <f>MROUND(IF(O4=0,H4,IF(V4=0,AVERAGE(H4,O4),IF(AC4=0,AVERAGE(H4,O4,V4),AVERAGE(H4,O4,V4,AC4)))), 0.5)</f>
        <v/>
      </c>
      <c r="AE4">
        <f>IF(AD4&gt;=6,"Aprovado","Exame")</f>
        <v/>
      </c>
    </row>
    <row r="5">
      <c r="A5" t="inlineStr">
        <is>
          <t>BIANCA BARBOSA OLIVEIRA</t>
        </is>
      </c>
      <c r="H5">
        <f>IFERROR(MIN(MROUND((((LARGE(B5:D5,1)+LARGE(B5:D5,2)+E5)/3)+F5+G5), 0.5), 10), 0)</f>
        <v/>
      </c>
      <c r="O5">
        <f>IFERROR(MIN(MROUND((((LARGE(I5:K5,1)+LARGE(I5:K5,2)+L5)/3)+M5+N5), 0.5), 10), 0)</f>
        <v/>
      </c>
      <c r="V5">
        <f>IFERROR(MIN(MROUND((((LARGE(P5:R5,1)+LARGE(P5:R5,2)+S5)/3)+T5+U5), 0.5), 10), 0)</f>
        <v/>
      </c>
      <c r="AC5">
        <f>IFERROR(MIN(MROUND((((LARGE(W5:Y5,1)+LARGE(W5:Y5,2)+Z5)/3)+AA5+AB5), 0.5), 10), 0)</f>
        <v/>
      </c>
      <c r="AD5">
        <f>MROUND(IF(O5=0,H5,IF(V5=0,AVERAGE(H5,O5),IF(AC5=0,AVERAGE(H5,O5,V5),AVERAGE(H5,O5,V5,AC5)))), 0.5)</f>
        <v/>
      </c>
      <c r="AE5">
        <f>IF(AD5&gt;=6,"Aprovado","Exame")</f>
        <v/>
      </c>
    </row>
    <row r="6">
      <c r="A6" t="inlineStr">
        <is>
          <t>BRENO HENRIQUE SOUZA OLIVEIRA DA SILVA</t>
        </is>
      </c>
      <c r="H6">
        <f>IFERROR(MIN(MROUND((((LARGE(B6:D6,1)+LARGE(B6:D6,2)+E6)/3)+F6+G6), 0.5), 10), 0)</f>
        <v/>
      </c>
      <c r="O6">
        <f>IFERROR(MIN(MROUND((((LARGE(I6:K6,1)+LARGE(I6:K6,2)+L6)/3)+M6+N6), 0.5), 10), 0)</f>
        <v/>
      </c>
      <c r="V6">
        <f>IFERROR(MIN(MROUND((((LARGE(P6:R6,1)+LARGE(P6:R6,2)+S6)/3)+T6+U6), 0.5), 10), 0)</f>
        <v/>
      </c>
      <c r="AC6">
        <f>IFERROR(MIN(MROUND((((LARGE(W6:Y6,1)+LARGE(W6:Y6,2)+Z6)/3)+AA6+AB6), 0.5), 10), 0)</f>
        <v/>
      </c>
      <c r="AD6">
        <f>MROUND(IF(O6=0,H6,IF(V6=0,AVERAGE(H6,O6),IF(AC6=0,AVERAGE(H6,O6,V6),AVERAGE(H6,O6,V6,AC6)))), 0.5)</f>
        <v/>
      </c>
      <c r="AE6">
        <f>IF(AD6&gt;=6,"Aprovado","Exame")</f>
        <v/>
      </c>
    </row>
    <row r="7">
      <c r="A7" t="inlineStr">
        <is>
          <t>DAVI PORSCH SILVA</t>
        </is>
      </c>
      <c r="H7">
        <f>IFERROR(MIN(MROUND((((LARGE(B7:D7,1)+LARGE(B7:D7,2)+E7)/3)+F7+G7), 0.5), 10), 0)</f>
        <v/>
      </c>
      <c r="O7">
        <f>IFERROR(MIN(MROUND((((LARGE(I7:K7,1)+LARGE(I7:K7,2)+L7)/3)+M7+N7), 0.5), 10), 0)</f>
        <v/>
      </c>
      <c r="V7">
        <f>IFERROR(MIN(MROUND((((LARGE(P7:R7,1)+LARGE(P7:R7,2)+S7)/3)+T7+U7), 0.5), 10), 0)</f>
        <v/>
      </c>
      <c r="AC7">
        <f>IFERROR(MIN(MROUND((((LARGE(W7:Y7,1)+LARGE(W7:Y7,2)+Z7)/3)+AA7+AB7), 0.5), 10), 0)</f>
        <v/>
      </c>
      <c r="AD7">
        <f>MROUND(IF(O7=0,H7,IF(V7=0,AVERAGE(H7,O7),IF(AC7=0,AVERAGE(H7,O7,V7),AVERAGE(H7,O7,V7,AC7)))), 0.5)</f>
        <v/>
      </c>
      <c r="AE7">
        <f>IF(AD7&gt;=6,"Aprovado","Exame")</f>
        <v/>
      </c>
    </row>
    <row r="8">
      <c r="A8" t="inlineStr">
        <is>
          <t>EMILLY STEPHANNY ACOSTA FERREIRA</t>
        </is>
      </c>
      <c r="H8">
        <f>IFERROR(MIN(MROUND((((LARGE(B8:D8,1)+LARGE(B8:D8,2)+E8)/3)+F8+G8), 0.5), 10), 0)</f>
        <v/>
      </c>
      <c r="O8">
        <f>IFERROR(MIN(MROUND((((LARGE(I8:K8,1)+LARGE(I8:K8,2)+L8)/3)+M8+N8), 0.5), 10), 0)</f>
        <v/>
      </c>
      <c r="V8">
        <f>IFERROR(MIN(MROUND((((LARGE(P8:R8,1)+LARGE(P8:R8,2)+S8)/3)+T8+U8), 0.5), 10), 0)</f>
        <v/>
      </c>
      <c r="AC8">
        <f>IFERROR(MIN(MROUND((((LARGE(W8:Y8,1)+LARGE(W8:Y8,2)+Z8)/3)+AA8+AB8), 0.5), 10), 0)</f>
        <v/>
      </c>
      <c r="AD8">
        <f>MROUND(IF(O8=0,H8,IF(V8=0,AVERAGE(H8,O8),IF(AC8=0,AVERAGE(H8,O8,V8),AVERAGE(H8,O8,V8,AC8)))), 0.5)</f>
        <v/>
      </c>
      <c r="AE8">
        <f>IF(AD8&gt;=6,"Aprovado","Exame")</f>
        <v/>
      </c>
    </row>
    <row r="9">
      <c r="A9" t="inlineStr">
        <is>
          <t>GIANLUCA SOUZA CLARANHAN</t>
        </is>
      </c>
      <c r="H9">
        <f>IFERROR(MIN(MROUND((((LARGE(B9:D9,1)+LARGE(B9:D9,2)+E9)/3)+F9+G9), 0.5), 10), 0)</f>
        <v/>
      </c>
      <c r="O9">
        <f>IFERROR(MIN(MROUND((((LARGE(I9:K9,1)+LARGE(I9:K9,2)+L9)/3)+M9+N9), 0.5), 10), 0)</f>
        <v/>
      </c>
      <c r="V9">
        <f>IFERROR(MIN(MROUND((((LARGE(P9:R9,1)+LARGE(P9:R9,2)+S9)/3)+T9+U9), 0.5), 10), 0)</f>
        <v/>
      </c>
      <c r="AC9">
        <f>IFERROR(MIN(MROUND((((LARGE(W9:Y9,1)+LARGE(W9:Y9,2)+Z9)/3)+AA9+AB9), 0.5), 10), 0)</f>
        <v/>
      </c>
      <c r="AD9">
        <f>MROUND(IF(O9=0,H9,IF(V9=0,AVERAGE(H9,O9),IF(AC9=0,AVERAGE(H9,O9,V9),AVERAGE(H9,O9,V9,AC9)))), 0.5)</f>
        <v/>
      </c>
      <c r="AE9">
        <f>IF(AD9&gt;=6,"Aprovado","Exame")</f>
        <v/>
      </c>
    </row>
    <row r="10">
      <c r="A10" t="inlineStr">
        <is>
          <t>GIULIA CRISTINA MONSON DE PAULA</t>
        </is>
      </c>
      <c r="H10">
        <f>IFERROR(MIN(MROUND((((LARGE(B10:D10,1)+LARGE(B10:D10,2)+E10)/3)+F10+G10), 0.5), 10), 0)</f>
        <v/>
      </c>
      <c r="O10">
        <f>IFERROR(MIN(MROUND((((LARGE(I10:K10,1)+LARGE(I10:K10,2)+L10)/3)+M10+N10), 0.5), 10), 0)</f>
        <v/>
      </c>
      <c r="V10">
        <f>IFERROR(MIN(MROUND((((LARGE(P10:R10,1)+LARGE(P10:R10,2)+S10)/3)+T10+U10), 0.5), 10), 0)</f>
        <v/>
      </c>
      <c r="AC10">
        <f>IFERROR(MIN(MROUND((((LARGE(W10:Y10,1)+LARGE(W10:Y10,2)+Z10)/3)+AA10+AB10), 0.5), 10), 0)</f>
        <v/>
      </c>
      <c r="AD10">
        <f>MROUND(IF(O10=0,H10,IF(V10=0,AVERAGE(H10,O10),IF(AC10=0,AVERAGE(H10,O10,V10),AVERAGE(H10,O10,V10,AC10)))), 0.5)</f>
        <v/>
      </c>
      <c r="AE10">
        <f>IF(AD10&gt;=6,"Aprovado","Exame")</f>
        <v/>
      </c>
    </row>
    <row r="11">
      <c r="A11" t="inlineStr">
        <is>
          <t>HEITOR DE LIMA BARBOSA</t>
        </is>
      </c>
      <c r="H11">
        <f>IFERROR(MIN(MROUND((((LARGE(B11:D11,1)+LARGE(B11:D11,2)+E11)/3)+F11+G11), 0.5), 10), 0)</f>
        <v/>
      </c>
      <c r="O11">
        <f>IFERROR(MIN(MROUND((((LARGE(I11:K11,1)+LARGE(I11:K11,2)+L11)/3)+M11+N11), 0.5), 10), 0)</f>
        <v/>
      </c>
      <c r="V11">
        <f>IFERROR(MIN(MROUND((((LARGE(P11:R11,1)+LARGE(P11:R11,2)+S11)/3)+T11+U11), 0.5), 10), 0)</f>
        <v/>
      </c>
      <c r="AC11">
        <f>IFERROR(MIN(MROUND((((LARGE(W11:Y11,1)+LARGE(W11:Y11,2)+Z11)/3)+AA11+AB11), 0.5), 10), 0)</f>
        <v/>
      </c>
      <c r="AD11">
        <f>MROUND(IF(O11=0,H11,IF(V11=0,AVERAGE(H11,O11),IF(AC11=0,AVERAGE(H11,O11,V11),AVERAGE(H11,O11,V11,AC11)))), 0.5)</f>
        <v/>
      </c>
      <c r="AE11">
        <f>IF(AD11&gt;=6,"Aprovado","Exame")</f>
        <v/>
      </c>
    </row>
    <row r="12">
      <c r="A12" t="inlineStr">
        <is>
          <t>ISABELA ROSA BENITES DE MARIA</t>
        </is>
      </c>
      <c r="H12">
        <f>IFERROR(MIN(MROUND((((LARGE(B12:D12,1)+LARGE(B12:D12,2)+E12)/3)+F12+G12), 0.5), 10), 0)</f>
        <v/>
      </c>
      <c r="O12">
        <f>IFERROR(MIN(MROUND((((LARGE(I12:K12,1)+LARGE(I12:K12,2)+L12)/3)+M12+N12), 0.5), 10), 0)</f>
        <v/>
      </c>
      <c r="V12">
        <f>IFERROR(MIN(MROUND((((LARGE(P12:R12,1)+LARGE(P12:R12,2)+S12)/3)+T12+U12), 0.5), 10), 0)</f>
        <v/>
      </c>
      <c r="AC12">
        <f>IFERROR(MIN(MROUND((((LARGE(W12:Y12,1)+LARGE(W12:Y12,2)+Z12)/3)+AA12+AB12), 0.5), 10), 0)</f>
        <v/>
      </c>
      <c r="AD12">
        <f>MROUND(IF(O12=0,H12,IF(V12=0,AVERAGE(H12,O12),IF(AC12=0,AVERAGE(H12,O12,V12),AVERAGE(H12,O12,V12,AC12)))), 0.5)</f>
        <v/>
      </c>
      <c r="AE12">
        <f>IF(AD12&gt;=6,"Aprovado","Exame")</f>
        <v/>
      </c>
    </row>
    <row r="13">
      <c r="A13" t="inlineStr">
        <is>
          <t>ISABELLA APARECIDA SANTOS BORGES</t>
        </is>
      </c>
      <c r="H13">
        <f>IFERROR(MIN(MROUND((((LARGE(B13:D13,1)+LARGE(B13:D13,2)+E13)/3)+F13+G13), 0.5), 10), 0)</f>
        <v/>
      </c>
      <c r="O13">
        <f>IFERROR(MIN(MROUND((((LARGE(I13:K13,1)+LARGE(I13:K13,2)+L13)/3)+M13+N13), 0.5), 10), 0)</f>
        <v/>
      </c>
      <c r="V13">
        <f>IFERROR(MIN(MROUND((((LARGE(P13:R13,1)+LARGE(P13:R13,2)+S13)/3)+T13+U13), 0.5), 10), 0)</f>
        <v/>
      </c>
      <c r="AC13">
        <f>IFERROR(MIN(MROUND((((LARGE(W13:Y13,1)+LARGE(W13:Y13,2)+Z13)/3)+AA13+AB13), 0.5), 10), 0)</f>
        <v/>
      </c>
      <c r="AD13">
        <f>MROUND(IF(O13=0,H13,IF(V13=0,AVERAGE(H13,O13),IF(AC13=0,AVERAGE(H13,O13,V13),AVERAGE(H13,O13,V13,AC13)))), 0.5)</f>
        <v/>
      </c>
      <c r="AE13">
        <f>IF(AD13&gt;=6,"Aprovado","Exame")</f>
        <v/>
      </c>
    </row>
    <row r="14">
      <c r="A14" t="inlineStr">
        <is>
          <t>ISABELLE BATISTOTI DEVES</t>
        </is>
      </c>
      <c r="H14">
        <f>IFERROR(MIN(MROUND((((LARGE(B14:D14,1)+LARGE(B14:D14,2)+E14)/3)+F14+G14), 0.5), 10), 0)</f>
        <v/>
      </c>
      <c r="O14">
        <f>IFERROR(MIN(MROUND((((LARGE(I14:K14,1)+LARGE(I14:K14,2)+L14)/3)+M14+N14), 0.5), 10), 0)</f>
        <v/>
      </c>
      <c r="V14">
        <f>IFERROR(MIN(MROUND((((LARGE(P14:R14,1)+LARGE(P14:R14,2)+S14)/3)+T14+U14), 0.5), 10), 0)</f>
        <v/>
      </c>
      <c r="AC14">
        <f>IFERROR(MIN(MROUND((((LARGE(W14:Y14,1)+LARGE(W14:Y14,2)+Z14)/3)+AA14+AB14), 0.5), 10), 0)</f>
        <v/>
      </c>
      <c r="AD14">
        <f>MROUND(IF(O14=0,H14,IF(V14=0,AVERAGE(H14,O14),IF(AC14=0,AVERAGE(H14,O14,V14),AVERAGE(H14,O14,V14,AC14)))), 0.5)</f>
        <v/>
      </c>
      <c r="AE14">
        <f>IF(AD14&gt;=6,"Aprovado","Exame")</f>
        <v/>
      </c>
    </row>
    <row r="15">
      <c r="A15" t="inlineStr">
        <is>
          <t>ISABELLY SANTOS FERREIRA</t>
        </is>
      </c>
      <c r="H15">
        <f>IFERROR(MIN(MROUND((((LARGE(B15:D15,1)+LARGE(B15:D15,2)+E15)/3)+F15+G15), 0.5), 10), 0)</f>
        <v/>
      </c>
      <c r="O15">
        <f>IFERROR(MIN(MROUND((((LARGE(I15:K15,1)+LARGE(I15:K15,2)+L15)/3)+M15+N15), 0.5), 10), 0)</f>
        <v/>
      </c>
      <c r="V15">
        <f>IFERROR(MIN(MROUND((((LARGE(P15:R15,1)+LARGE(P15:R15,2)+S15)/3)+T15+U15), 0.5), 10), 0)</f>
        <v/>
      </c>
      <c r="AC15">
        <f>IFERROR(MIN(MROUND((((LARGE(W15:Y15,1)+LARGE(W15:Y15,2)+Z15)/3)+AA15+AB15), 0.5), 10), 0)</f>
        <v/>
      </c>
      <c r="AD15">
        <f>MROUND(IF(O15=0,H15,IF(V15=0,AVERAGE(H15,O15),IF(AC15=0,AVERAGE(H15,O15,V15),AVERAGE(H15,O15,V15,AC15)))), 0.5)</f>
        <v/>
      </c>
      <c r="AE15">
        <f>IF(AD15&gt;=6,"Aprovado","Exame")</f>
        <v/>
      </c>
    </row>
    <row r="16">
      <c r="A16" t="inlineStr">
        <is>
          <t>ISADORA DA SILVA MEDINA</t>
        </is>
      </c>
      <c r="H16">
        <f>IFERROR(MIN(MROUND((((LARGE(B16:D16,1)+LARGE(B16:D16,2)+E16)/3)+F16+G16), 0.5), 10), 0)</f>
        <v/>
      </c>
      <c r="O16">
        <f>IFERROR(MIN(MROUND((((LARGE(I16:K16,1)+LARGE(I16:K16,2)+L16)/3)+M16+N16), 0.5), 10), 0)</f>
        <v/>
      </c>
      <c r="V16">
        <f>IFERROR(MIN(MROUND((((LARGE(P16:R16,1)+LARGE(P16:R16,2)+S16)/3)+T16+U16), 0.5), 10), 0)</f>
        <v/>
      </c>
      <c r="AC16">
        <f>IFERROR(MIN(MROUND((((LARGE(W16:Y16,1)+LARGE(W16:Y16,2)+Z16)/3)+AA16+AB16), 0.5), 10), 0)</f>
        <v/>
      </c>
      <c r="AD16">
        <f>MROUND(IF(O16=0,H16,IF(V16=0,AVERAGE(H16,O16),IF(AC16=0,AVERAGE(H16,O16,V16),AVERAGE(H16,O16,V16,AC16)))), 0.5)</f>
        <v/>
      </c>
      <c r="AE16">
        <f>IF(AD16&gt;=6,"Aprovado","Exame")</f>
        <v/>
      </c>
    </row>
    <row r="17">
      <c r="A17" t="inlineStr">
        <is>
          <t>ISADORA LOLA SANTOS DE LARA</t>
        </is>
      </c>
      <c r="H17">
        <f>IFERROR(MIN(MROUND((((LARGE(B17:D17,1)+LARGE(B17:D17,2)+E17)/3)+F17+G17), 0.5), 10), 0)</f>
        <v/>
      </c>
      <c r="O17">
        <f>IFERROR(MIN(MROUND((((LARGE(I17:K17,1)+LARGE(I17:K17,2)+L17)/3)+M17+N17), 0.5), 10), 0)</f>
        <v/>
      </c>
      <c r="V17">
        <f>IFERROR(MIN(MROUND((((LARGE(P17:R17,1)+LARGE(P17:R17,2)+S17)/3)+T17+U17), 0.5), 10), 0)</f>
        <v/>
      </c>
      <c r="AC17">
        <f>IFERROR(MIN(MROUND((((LARGE(W17:Y17,1)+LARGE(W17:Y17,2)+Z17)/3)+AA17+AB17), 0.5), 10), 0)</f>
        <v/>
      </c>
      <c r="AD17">
        <f>MROUND(IF(O17=0,H17,IF(V17=0,AVERAGE(H17,O17),IF(AC17=0,AVERAGE(H17,O17,V17),AVERAGE(H17,O17,V17,AC17)))), 0.5)</f>
        <v/>
      </c>
      <c r="AE17">
        <f>IF(AD17&gt;=6,"Aprovado","Exame")</f>
        <v/>
      </c>
    </row>
    <row r="18">
      <c r="A18" t="inlineStr">
        <is>
          <t>JOÃO PEDRO CORRÊA DE OLIVEIRA LEWERGGER</t>
        </is>
      </c>
      <c r="H18">
        <f>IFERROR(MIN(MROUND((((LARGE(B18:D18,1)+LARGE(B18:D18,2)+E18)/3)+F18+G18), 0.5), 10), 0)</f>
        <v/>
      </c>
      <c r="O18">
        <f>IFERROR(MIN(MROUND((((LARGE(I18:K18,1)+LARGE(I18:K18,2)+L18)/3)+M18+N18), 0.5), 10), 0)</f>
        <v/>
      </c>
      <c r="V18">
        <f>IFERROR(MIN(MROUND((((LARGE(P18:R18,1)+LARGE(P18:R18,2)+S18)/3)+T18+U18), 0.5), 10), 0)</f>
        <v/>
      </c>
      <c r="AC18">
        <f>IFERROR(MIN(MROUND((((LARGE(W18:Y18,1)+LARGE(W18:Y18,2)+Z18)/3)+AA18+AB18), 0.5), 10), 0)</f>
        <v/>
      </c>
      <c r="AD18">
        <f>MROUND(IF(O18=0,H18,IF(V18=0,AVERAGE(H18,O18),IF(AC18=0,AVERAGE(H18,O18,V18),AVERAGE(H18,O18,V18,AC18)))), 0.5)</f>
        <v/>
      </c>
      <c r="AE18">
        <f>IF(AD18&gt;=6,"Aprovado","Exame")</f>
        <v/>
      </c>
    </row>
    <row r="19">
      <c r="A19" t="inlineStr">
        <is>
          <t>JOÃO VITOR CAMARGO DO CARMO</t>
        </is>
      </c>
      <c r="H19">
        <f>IFERROR(MIN(MROUND((((LARGE(B19:D19,1)+LARGE(B19:D19,2)+E19)/3)+F19+G19), 0.5), 10), 0)</f>
        <v/>
      </c>
      <c r="O19">
        <f>IFERROR(MIN(MROUND((((LARGE(I19:K19,1)+LARGE(I19:K19,2)+L19)/3)+M19+N19), 0.5), 10), 0)</f>
        <v/>
      </c>
      <c r="V19">
        <f>IFERROR(MIN(MROUND((((LARGE(P19:R19,1)+LARGE(P19:R19,2)+S19)/3)+T19+U19), 0.5), 10), 0)</f>
        <v/>
      </c>
      <c r="AC19">
        <f>IFERROR(MIN(MROUND((((LARGE(W19:Y19,1)+LARGE(W19:Y19,2)+Z19)/3)+AA19+AB19), 0.5), 10), 0)</f>
        <v/>
      </c>
      <c r="AD19">
        <f>MROUND(IF(O19=0,H19,IF(V19=0,AVERAGE(H19,O19),IF(AC19=0,AVERAGE(H19,O19,V19),AVERAGE(H19,O19,V19,AC19)))), 0.5)</f>
        <v/>
      </c>
      <c r="AE19">
        <f>IF(AD19&gt;=6,"Aprovado","Exame")</f>
        <v/>
      </c>
    </row>
    <row r="20">
      <c r="A20" t="inlineStr">
        <is>
          <t>JULIANA CORREA RABELO</t>
        </is>
      </c>
      <c r="H20">
        <f>IFERROR(MIN(MROUND((((LARGE(B20:D20,1)+LARGE(B20:D20,2)+E20)/3)+F20+G20), 0.5), 10), 0)</f>
        <v/>
      </c>
      <c r="O20">
        <f>IFERROR(MIN(MROUND((((LARGE(I20:K20,1)+LARGE(I20:K20,2)+L20)/3)+M20+N20), 0.5), 10), 0)</f>
        <v/>
      </c>
      <c r="V20">
        <f>IFERROR(MIN(MROUND((((LARGE(P20:R20,1)+LARGE(P20:R20,2)+S20)/3)+T20+U20), 0.5), 10), 0)</f>
        <v/>
      </c>
      <c r="AC20">
        <f>IFERROR(MIN(MROUND((((LARGE(W20:Y20,1)+LARGE(W20:Y20,2)+Z20)/3)+AA20+AB20), 0.5), 10), 0)</f>
        <v/>
      </c>
      <c r="AD20">
        <f>MROUND(IF(O20=0,H20,IF(V20=0,AVERAGE(H20,O20),IF(AC20=0,AVERAGE(H20,O20,V20),AVERAGE(H20,O20,V20,AC20)))), 0.5)</f>
        <v/>
      </c>
      <c r="AE20">
        <f>IF(AD20&gt;=6,"Aprovado","Exame")</f>
        <v/>
      </c>
    </row>
    <row r="21">
      <c r="A21" t="inlineStr">
        <is>
          <t>KALINDA KAUANNY RAMOS DOS SANTOS</t>
        </is>
      </c>
      <c r="H21">
        <f>IFERROR(MIN(MROUND((((LARGE(B21:D21,1)+LARGE(B21:D21,2)+E21)/3)+F21+G21), 0.5), 10), 0)</f>
        <v/>
      </c>
      <c r="O21">
        <f>IFERROR(MIN(MROUND((((LARGE(I21:K21,1)+LARGE(I21:K21,2)+L21)/3)+M21+N21), 0.5), 10), 0)</f>
        <v/>
      </c>
      <c r="V21">
        <f>IFERROR(MIN(MROUND((((LARGE(P21:R21,1)+LARGE(P21:R21,2)+S21)/3)+T21+U21), 0.5), 10), 0)</f>
        <v/>
      </c>
      <c r="AC21">
        <f>IFERROR(MIN(MROUND((((LARGE(W21:Y21,1)+LARGE(W21:Y21,2)+Z21)/3)+AA21+AB21), 0.5), 10), 0)</f>
        <v/>
      </c>
      <c r="AD21">
        <f>MROUND(IF(O21=0,H21,IF(V21=0,AVERAGE(H21,O21),IF(AC21=0,AVERAGE(H21,O21,V21),AVERAGE(H21,O21,V21,AC21)))), 0.5)</f>
        <v/>
      </c>
      <c r="AE21">
        <f>IF(AD21&gt;=6,"Aprovado","Exame")</f>
        <v/>
      </c>
    </row>
    <row r="22">
      <c r="A22" t="inlineStr">
        <is>
          <t>LETÍCIA BERGAMASCHI LOPES</t>
        </is>
      </c>
      <c r="H22">
        <f>IFERROR(MIN(MROUND((((LARGE(B22:D22,1)+LARGE(B22:D22,2)+E22)/3)+F22+G22), 0.5), 10), 0)</f>
        <v/>
      </c>
      <c r="O22">
        <f>IFERROR(MIN(MROUND((((LARGE(I22:K22,1)+LARGE(I22:K22,2)+L22)/3)+M22+N22), 0.5), 10), 0)</f>
        <v/>
      </c>
      <c r="V22">
        <f>IFERROR(MIN(MROUND((((LARGE(P22:R22,1)+LARGE(P22:R22,2)+S22)/3)+T22+U22), 0.5), 10), 0)</f>
        <v/>
      </c>
      <c r="AC22">
        <f>IFERROR(MIN(MROUND((((LARGE(W22:Y22,1)+LARGE(W22:Y22,2)+Z22)/3)+AA22+AB22), 0.5), 10), 0)</f>
        <v/>
      </c>
      <c r="AD22">
        <f>MROUND(IF(O22=0,H22,IF(V22=0,AVERAGE(H22,O22),IF(AC22=0,AVERAGE(H22,O22,V22),AVERAGE(H22,O22,V22,AC22)))), 0.5)</f>
        <v/>
      </c>
      <c r="AE22">
        <f>IF(AD22&gt;=6,"Aprovado","Exame")</f>
        <v/>
      </c>
    </row>
    <row r="23">
      <c r="A23" t="inlineStr">
        <is>
          <t>LYVIA DA SILVA SANTOS</t>
        </is>
      </c>
      <c r="H23">
        <f>IFERROR(MIN(MROUND((((LARGE(B23:D23,1)+LARGE(B23:D23,2)+E23)/3)+F23+G23), 0.5), 10), 0)</f>
        <v/>
      </c>
      <c r="O23">
        <f>IFERROR(MIN(MROUND((((LARGE(I23:K23,1)+LARGE(I23:K23,2)+L23)/3)+M23+N23), 0.5), 10), 0)</f>
        <v/>
      </c>
      <c r="V23">
        <f>IFERROR(MIN(MROUND((((LARGE(P23:R23,1)+LARGE(P23:R23,2)+S23)/3)+T23+U23), 0.5), 10), 0)</f>
        <v/>
      </c>
      <c r="AC23">
        <f>IFERROR(MIN(MROUND((((LARGE(W23:Y23,1)+LARGE(W23:Y23,2)+Z23)/3)+AA23+AB23), 0.5), 10), 0)</f>
        <v/>
      </c>
      <c r="AD23">
        <f>MROUND(IF(O23=0,H23,IF(V23=0,AVERAGE(H23,O23),IF(AC23=0,AVERAGE(H23,O23,V23),AVERAGE(H23,O23,V23,AC23)))), 0.5)</f>
        <v/>
      </c>
      <c r="AE23">
        <f>IF(AD23&gt;=6,"Aprovado","Exame")</f>
        <v/>
      </c>
    </row>
    <row r="24">
      <c r="A24" t="inlineStr">
        <is>
          <t>MARCOS ALENCAR ANDRADE CARNEIRO</t>
        </is>
      </c>
      <c r="H24">
        <f>IFERROR(MIN(MROUND((((LARGE(B24:D24,1)+LARGE(B24:D24,2)+E24)/3)+F24+G24), 0.5), 10), 0)</f>
        <v/>
      </c>
      <c r="O24">
        <f>IFERROR(MIN(MROUND((((LARGE(I24:K24,1)+LARGE(I24:K24,2)+L24)/3)+M24+N24), 0.5), 10), 0)</f>
        <v/>
      </c>
      <c r="V24">
        <f>IFERROR(MIN(MROUND((((LARGE(P24:R24,1)+LARGE(P24:R24,2)+S24)/3)+T24+U24), 0.5), 10), 0)</f>
        <v/>
      </c>
      <c r="AC24">
        <f>IFERROR(MIN(MROUND((((LARGE(W24:Y24,1)+LARGE(W24:Y24,2)+Z24)/3)+AA24+AB24), 0.5), 10), 0)</f>
        <v/>
      </c>
      <c r="AD24">
        <f>MROUND(IF(O24=0,H24,IF(V24=0,AVERAGE(H24,O24),IF(AC24=0,AVERAGE(H24,O24,V24),AVERAGE(H24,O24,V24,AC24)))), 0.5)</f>
        <v/>
      </c>
      <c r="AE24">
        <f>IF(AD24&gt;=6,"Aprovado","Exame")</f>
        <v/>
      </c>
    </row>
    <row r="25">
      <c r="A25" t="inlineStr">
        <is>
          <t>NICOLLY AUXILIADORA CONTRERA PEIXOTO</t>
        </is>
      </c>
      <c r="H25">
        <f>IFERROR(MIN(MROUND((((LARGE(B25:D25,1)+LARGE(B25:D25,2)+E25)/3)+F25+G25), 0.5), 10), 0)</f>
        <v/>
      </c>
      <c r="O25">
        <f>IFERROR(MIN(MROUND((((LARGE(I25:K25,1)+LARGE(I25:K25,2)+L25)/3)+M25+N25), 0.5), 10), 0)</f>
        <v/>
      </c>
      <c r="V25">
        <f>IFERROR(MIN(MROUND((((LARGE(P25:R25,1)+LARGE(P25:R25,2)+S25)/3)+T25+U25), 0.5), 10), 0)</f>
        <v/>
      </c>
      <c r="AC25">
        <f>IFERROR(MIN(MROUND((((LARGE(W25:Y25,1)+LARGE(W25:Y25,2)+Z25)/3)+AA25+AB25), 0.5), 10), 0)</f>
        <v/>
      </c>
      <c r="AD25">
        <f>MROUND(IF(O25=0,H25,IF(V25=0,AVERAGE(H25,O25),IF(AC25=0,AVERAGE(H25,O25,V25),AVERAGE(H25,O25,V25,AC25)))), 0.5)</f>
        <v/>
      </c>
      <c r="AE25">
        <f>IF(AD25&gt;=6,"Aprovado","Exame")</f>
        <v/>
      </c>
    </row>
    <row r="26">
      <c r="A26" t="inlineStr">
        <is>
          <t>RAFAELA CAMPOS MAIDANA</t>
        </is>
      </c>
      <c r="H26">
        <f>IFERROR(MIN(MROUND((((LARGE(B26:D26,1)+LARGE(B26:D26,2)+E26)/3)+F26+G26), 0.5), 10), 0)</f>
        <v/>
      </c>
      <c r="O26">
        <f>IFERROR(MIN(MROUND((((LARGE(I26:K26,1)+LARGE(I26:K26,2)+L26)/3)+M26+N26), 0.5), 10), 0)</f>
        <v/>
      </c>
      <c r="V26">
        <f>IFERROR(MIN(MROUND((((LARGE(P26:R26,1)+LARGE(P26:R26,2)+S26)/3)+T26+U26), 0.5), 10), 0)</f>
        <v/>
      </c>
      <c r="AC26">
        <f>IFERROR(MIN(MROUND((((LARGE(W26:Y26,1)+LARGE(W26:Y26,2)+Z26)/3)+AA26+AB26), 0.5), 10), 0)</f>
        <v/>
      </c>
      <c r="AD26">
        <f>MROUND(IF(O26=0,H26,IF(V26=0,AVERAGE(H26,O26),IF(AC26=0,AVERAGE(H26,O26,V26),AVERAGE(H26,O26,V26,AC26)))), 0.5)</f>
        <v/>
      </c>
      <c r="AE26">
        <f>IF(AD26&gt;=6,"Aprovado","Exame")</f>
        <v/>
      </c>
    </row>
    <row r="27">
      <c r="A27" t="inlineStr">
        <is>
          <t>RIAN SILVA GARCIA (T-03/03/2026)</t>
        </is>
      </c>
      <c r="H27">
        <f>IFERROR(MIN(MROUND((((LARGE(B27:D27,1)+LARGE(B27:D27,2)+E27)/3)+F27+G27), 0.5), 10), 0)</f>
        <v/>
      </c>
      <c r="O27">
        <f>IFERROR(MIN(MROUND((((LARGE(I27:K27,1)+LARGE(I27:K27,2)+L27)/3)+M27+N27), 0.5), 10), 0)</f>
        <v/>
      </c>
      <c r="V27">
        <f>IFERROR(MIN(MROUND((((LARGE(P27:R27,1)+LARGE(P27:R27,2)+S27)/3)+T27+U27), 0.5), 10), 0)</f>
        <v/>
      </c>
      <c r="AC27">
        <f>IFERROR(MIN(MROUND((((LARGE(W27:Y27,1)+LARGE(W27:Y27,2)+Z27)/3)+AA27+AB27), 0.5), 10), 0)</f>
        <v/>
      </c>
      <c r="AD27">
        <f>MROUND(IF(O27=0,H27,IF(V27=0,AVERAGE(H27,O27),IF(AC27=0,AVERAGE(H27,O27,V27),AVERAGE(H27,O27,V27,AC27)))), 0.5)</f>
        <v/>
      </c>
      <c r="AE27">
        <f>IF(AD27&gt;=6,"Aprovado","Exame")</f>
        <v/>
      </c>
    </row>
    <row r="28">
      <c r="A28" t="inlineStr">
        <is>
          <t>SAMUEL KEI DA CONCEIÇÃO MORI</t>
        </is>
      </c>
      <c r="H28">
        <f>IFERROR(MIN(MROUND((((LARGE(B28:D28,1)+LARGE(B28:D28,2)+E28)/3)+F28+G28), 0.5), 10), 0)</f>
        <v/>
      </c>
      <c r="O28">
        <f>IFERROR(MIN(MROUND((((LARGE(I28:K28,1)+LARGE(I28:K28,2)+L28)/3)+M28+N28), 0.5), 10), 0)</f>
        <v/>
      </c>
      <c r="V28">
        <f>IFERROR(MIN(MROUND((((LARGE(P28:R28,1)+LARGE(P28:R28,2)+S28)/3)+T28+U28), 0.5), 10), 0)</f>
        <v/>
      </c>
      <c r="AC28">
        <f>IFERROR(MIN(MROUND((((LARGE(W28:Y28,1)+LARGE(W28:Y28,2)+Z28)/3)+AA28+AB28), 0.5), 10), 0)</f>
        <v/>
      </c>
      <c r="AD28">
        <f>MROUND(IF(O28=0,H28,IF(V28=0,AVERAGE(H28,O28),IF(AC28=0,AVERAGE(H28,O28,V28),AVERAGE(H28,O28,V28,AC28)))), 0.5)</f>
        <v/>
      </c>
      <c r="AE28">
        <f>IF(AD28&gt;=6,"Aprovado","Exame")</f>
        <v/>
      </c>
    </row>
    <row r="29">
      <c r="A29" t="inlineStr">
        <is>
          <t>SOPHIA MITZKO DE BRITO</t>
        </is>
      </c>
      <c r="H29">
        <f>IFERROR(MIN(MROUND((((LARGE(B29:D29,1)+LARGE(B29:D29,2)+E29)/3)+F29+G29), 0.5), 10), 0)</f>
        <v/>
      </c>
      <c r="O29">
        <f>IFERROR(MIN(MROUND((((LARGE(I29:K29,1)+LARGE(I29:K29,2)+L29)/3)+M29+N29), 0.5), 10), 0)</f>
        <v/>
      </c>
      <c r="V29">
        <f>IFERROR(MIN(MROUND((((LARGE(P29:R29,1)+LARGE(P29:R29,2)+S29)/3)+T29+U29), 0.5), 10), 0)</f>
        <v/>
      </c>
      <c r="AC29">
        <f>IFERROR(MIN(MROUND((((LARGE(W29:Y29,1)+LARGE(W29:Y29,2)+Z29)/3)+AA29+AB29), 0.5), 10), 0)</f>
        <v/>
      </c>
      <c r="AD29">
        <f>MROUND(IF(O29=0,H29,IF(V29=0,AVERAGE(H29,O29),IF(AC29=0,AVERAGE(H29,O29,V29),AVERAGE(H29,O29,V29,AC29)))), 0.5)</f>
        <v/>
      </c>
      <c r="AE29">
        <f>IF(AD29&gt;=6,"Aprovado","Exame")</f>
        <v/>
      </c>
    </row>
    <row r="30">
      <c r="A30" t="inlineStr">
        <is>
          <t>THEO ACOSTA</t>
        </is>
      </c>
      <c r="H30">
        <f>IFERROR(MIN(MROUND((((LARGE(B30:D30,1)+LARGE(B30:D30,2)+E30)/3)+F30+G30), 0.5), 10), 0)</f>
        <v/>
      </c>
      <c r="O30">
        <f>IFERROR(MIN(MROUND((((LARGE(I30:K30,1)+LARGE(I30:K30,2)+L30)/3)+M30+N30), 0.5), 10), 0)</f>
        <v/>
      </c>
      <c r="V30">
        <f>IFERROR(MIN(MROUND((((LARGE(P30:R30,1)+LARGE(P30:R30,2)+S30)/3)+T30+U30), 0.5), 10), 0)</f>
        <v/>
      </c>
      <c r="AC30">
        <f>IFERROR(MIN(MROUND((((LARGE(W30:Y30,1)+LARGE(W30:Y30,2)+Z30)/3)+AA30+AB30), 0.5), 10), 0)</f>
        <v/>
      </c>
      <c r="AD30">
        <f>MROUND(IF(O30=0,H30,IF(V30=0,AVERAGE(H30,O30),IF(AC30=0,AVERAGE(H30,O30,V30),AVERAGE(H30,O30,V30,AC30)))), 0.5)</f>
        <v/>
      </c>
      <c r="AE30">
        <f>IF(AD30&gt;=6,"Aprovado","Exame")</f>
        <v/>
      </c>
    </row>
    <row r="31">
      <c r="A31" t="inlineStr">
        <is>
          <t>VINÍCIUS LEITE DINIZ</t>
        </is>
      </c>
      <c r="H31">
        <f>IFERROR(MIN(MROUND((((LARGE(B31:D31,1)+LARGE(B31:D31,2)+E31)/3)+F31+G31), 0.5), 10), 0)</f>
        <v/>
      </c>
      <c r="O31">
        <f>IFERROR(MIN(MROUND((((LARGE(I31:K31,1)+LARGE(I31:K31,2)+L31)/3)+M31+N31), 0.5), 10), 0)</f>
        <v/>
      </c>
      <c r="V31">
        <f>IFERROR(MIN(MROUND((((LARGE(P31:R31,1)+LARGE(P31:R31,2)+S31)/3)+T31+U31), 0.5), 10), 0)</f>
        <v/>
      </c>
      <c r="AC31">
        <f>IFERROR(MIN(MROUND((((LARGE(W31:Y31,1)+LARGE(W31:Y31,2)+Z31)/3)+AA31+AB31), 0.5), 10), 0)</f>
        <v/>
      </c>
      <c r="AD31">
        <f>MROUND(IF(O31=0,H31,IF(V31=0,AVERAGE(H31,O31),IF(AC31=0,AVERAGE(H31,O31,V31),AVERAGE(H31,O31,V31,AC31)))), 0.5)</f>
        <v/>
      </c>
      <c r="AE31">
        <f>IF(AD31&gt;=6,"Aprovado","Exame")</f>
        <v/>
      </c>
    </row>
    <row r="32">
      <c r="A32" t="inlineStr">
        <is>
          <t>VITÓRIA MIKAELLY ANCEL ARAGÃO</t>
        </is>
      </c>
      <c r="H32">
        <f>IFERROR(MIN(MROUND((((LARGE(B32:D32,1)+LARGE(B32:D32,2)+E32)/3)+F32+G32), 0.5), 10), 0)</f>
        <v/>
      </c>
      <c r="O32">
        <f>IFERROR(MIN(MROUND((((LARGE(I32:K32,1)+LARGE(I32:K32,2)+L32)/3)+M32+N32), 0.5), 10), 0)</f>
        <v/>
      </c>
      <c r="V32">
        <f>IFERROR(MIN(MROUND((((LARGE(P32:R32,1)+LARGE(P32:R32,2)+S32)/3)+T32+U32), 0.5), 10), 0)</f>
        <v/>
      </c>
      <c r="AC32">
        <f>IFERROR(MIN(MROUND((((LARGE(W32:Y32,1)+LARGE(W32:Y32,2)+Z32)/3)+AA32+AB32), 0.5), 10), 0)</f>
        <v/>
      </c>
      <c r="AD32">
        <f>MROUND(IF(O32=0,H32,IF(V32=0,AVERAGE(H32,O32),IF(AC32=0,AVERAGE(H32,O32,V32),AVERAGE(H32,O32,V32,AC32)))), 0.5)</f>
        <v/>
      </c>
      <c r="AE32">
        <f>IF(AD32&gt;=6,"Aprovado","Exame")</f>
        <v/>
      </c>
    </row>
    <row r="33">
      <c r="A33" t="inlineStr">
        <is>
          <t>VITÓRIA NASCIMENTO BRANDÃO</t>
        </is>
      </c>
      <c r="H33">
        <f>IFERROR(MIN(MROUND((((LARGE(B33:D33,1)+LARGE(B33:D33,2)+E33)/3)+F33+G33), 0.5), 10), 0)</f>
        <v/>
      </c>
      <c r="O33">
        <f>IFERROR(MIN(MROUND((((LARGE(I33:K33,1)+LARGE(I33:K33,2)+L33)/3)+M33+N33), 0.5), 10), 0)</f>
        <v/>
      </c>
      <c r="V33">
        <f>IFERROR(MIN(MROUND((((LARGE(P33:R33,1)+LARGE(P33:R33,2)+S33)/3)+T33+U33), 0.5), 10), 0)</f>
        <v/>
      </c>
      <c r="AC33">
        <f>IFERROR(MIN(MROUND((((LARGE(W33:Y33,1)+LARGE(W33:Y33,2)+Z33)/3)+AA33+AB33), 0.5), 10), 0)</f>
        <v/>
      </c>
      <c r="AD33">
        <f>MROUND(IF(O33=0,H33,IF(V33=0,AVERAGE(H33,O33),IF(AC33=0,AVERAGE(H33,O33,V33),AVERAGE(H33,O33,V33,AC33)))), 0.5)</f>
        <v/>
      </c>
      <c r="AE33">
        <f>IF(AD33&gt;=6,"Aprovado","Exame")</f>
        <v/>
      </c>
    </row>
    <row r="34">
      <c r="A34" t="inlineStr">
        <is>
          <t>LAVÍNYA ALVES RIBEIRO</t>
        </is>
      </c>
      <c r="H34">
        <f>IFERROR(MIN(MROUND((((LARGE(B34:D34,1)+LARGE(B34:D34,2)+E34)/3)+F34+G34), 0.5), 10), 0)</f>
        <v/>
      </c>
      <c r="O34">
        <f>IFERROR(MIN(MROUND((((LARGE(I34:K34,1)+LARGE(I34:K34,2)+L34)/3)+M34+N34), 0.5), 10), 0)</f>
        <v/>
      </c>
      <c r="V34">
        <f>IFERROR(MIN(MROUND((((LARGE(P34:R34,1)+LARGE(P34:R34,2)+S34)/3)+T34+U34), 0.5), 10), 0)</f>
        <v/>
      </c>
      <c r="AC34">
        <f>IFERROR(MIN(MROUND((((LARGE(W34:Y34,1)+LARGE(W34:Y34,2)+Z34)/3)+AA34+AB34), 0.5), 10), 0)</f>
        <v/>
      </c>
      <c r="AD34">
        <f>MROUND(IF(O34=0,H34,IF(V34=0,AVERAGE(H34,O34),IF(AC34=0,AVERAGE(H34,O34,V34),AVERAGE(H34,O34,V34,AC34)))), 0.5)</f>
        <v/>
      </c>
      <c r="AE34">
        <f>IF(AD34&gt;=6,"Aprovado","Exame")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N1_B1</t>
        </is>
      </c>
      <c r="C1" t="inlineStr">
        <is>
          <t>N2_B1</t>
        </is>
      </c>
      <c r="D1" t="inlineStr">
        <is>
          <t>N3_B1</t>
        </is>
      </c>
      <c r="E1" t="inlineStr">
        <is>
          <t>N4_B1</t>
        </is>
      </c>
      <c r="F1" t="inlineStr">
        <is>
          <t>Atv1_B1</t>
        </is>
      </c>
      <c r="G1" t="inlineStr">
        <is>
          <t>Atv2_B1</t>
        </is>
      </c>
      <c r="H1" t="inlineStr">
        <is>
          <t>Media_B1</t>
        </is>
      </c>
      <c r="I1" t="inlineStr">
        <is>
          <t>N1_B2</t>
        </is>
      </c>
      <c r="J1" t="inlineStr">
        <is>
          <t>N2_B2</t>
        </is>
      </c>
      <c r="K1" t="inlineStr">
        <is>
          <t>N3_B2</t>
        </is>
      </c>
      <c r="L1" t="inlineStr">
        <is>
          <t>N4_B2</t>
        </is>
      </c>
      <c r="M1" t="inlineStr">
        <is>
          <t>Atv1_B2</t>
        </is>
      </c>
      <c r="N1" t="inlineStr">
        <is>
          <t>Atv2_B2</t>
        </is>
      </c>
      <c r="O1" t="inlineStr">
        <is>
          <t>Media_B2</t>
        </is>
      </c>
      <c r="P1" t="inlineStr">
        <is>
          <t>N1_B3</t>
        </is>
      </c>
      <c r="Q1" t="inlineStr">
        <is>
          <t>N2_B3</t>
        </is>
      </c>
      <c r="R1" t="inlineStr">
        <is>
          <t>N3_B3</t>
        </is>
      </c>
      <c r="S1" t="inlineStr">
        <is>
          <t>N4_B3</t>
        </is>
      </c>
      <c r="T1" t="inlineStr">
        <is>
          <t>Atv1_B3</t>
        </is>
      </c>
      <c r="U1" t="inlineStr">
        <is>
          <t>Atv2_B3</t>
        </is>
      </c>
      <c r="V1" t="inlineStr">
        <is>
          <t>Media_B3</t>
        </is>
      </c>
      <c r="W1" t="inlineStr">
        <is>
          <t>N1_B4</t>
        </is>
      </c>
      <c r="X1" t="inlineStr">
        <is>
          <t>N2_B4</t>
        </is>
      </c>
      <c r="Y1" t="inlineStr">
        <is>
          <t>N3_B4</t>
        </is>
      </c>
      <c r="Z1" t="inlineStr">
        <is>
          <t>N4_B4</t>
        </is>
      </c>
      <c r="AA1" t="inlineStr">
        <is>
          <t>Atv1_B4</t>
        </is>
      </c>
      <c r="AB1" t="inlineStr">
        <is>
          <t>Atv2_B4</t>
        </is>
      </c>
      <c r="AC1" t="inlineStr">
        <is>
          <t>Media_B4</t>
        </is>
      </c>
      <c r="AD1" t="inlineStr">
        <is>
          <t>Media_Anual</t>
        </is>
      </c>
      <c r="AE1" t="inlineStr">
        <is>
          <t>Status</t>
        </is>
      </c>
    </row>
    <row r="2">
      <c r="A2" t="inlineStr">
        <is>
          <t>ANA ALÍCIA URBIETA DA COSTA MARTINS</t>
        </is>
      </c>
      <c r="H2">
        <f>IFERROR(MIN(MROUND((((LARGE(B2:D2,1)+LARGE(B2:D2,2)+E2)/3)+F2+G2), 0.5), 10), 0)</f>
        <v/>
      </c>
      <c r="O2">
        <f>IFERROR(MIN(MROUND((((LARGE(I2:K2,1)+LARGE(I2:K2,2)+L2)/3)+M2+N2), 0.5), 10), 0)</f>
        <v/>
      </c>
      <c r="V2">
        <f>IFERROR(MIN(MROUND((((LARGE(P2:R2,1)+LARGE(P2:R2,2)+S2)/3)+T2+U2), 0.5), 10), 0)</f>
        <v/>
      </c>
      <c r="AC2">
        <f>IFERROR(MIN(MROUND((((LARGE(W2:Y2,1)+LARGE(W2:Y2,2)+Z2)/3)+AA2+AB2), 0.5), 10), 0)</f>
        <v/>
      </c>
      <c r="AD2">
        <f>MROUND(IF(O2=0,H2,IF(V2=0,AVERAGE(H2,O2),IF(AC2=0,AVERAGE(H2,O2,V2),AVERAGE(H2,O2,V2,AC2)))), 0.5)</f>
        <v/>
      </c>
      <c r="AE2">
        <f>IF(AD2&gt;=6,"Aprovado","Exame")</f>
        <v/>
      </c>
    </row>
    <row r="3">
      <c r="A3" t="inlineStr">
        <is>
          <t>ANA JULIA ALVES PAGANOTTI</t>
        </is>
      </c>
      <c r="H3">
        <f>IFERROR(MIN(MROUND((((LARGE(B3:D3,1)+LARGE(B3:D3,2)+E3)/3)+F3+G3), 0.5), 10), 0)</f>
        <v/>
      </c>
      <c r="O3">
        <f>IFERROR(MIN(MROUND((((LARGE(I3:K3,1)+LARGE(I3:K3,2)+L3)/3)+M3+N3), 0.5), 10), 0)</f>
        <v/>
      </c>
      <c r="V3">
        <f>IFERROR(MIN(MROUND((((LARGE(P3:R3,1)+LARGE(P3:R3,2)+S3)/3)+T3+U3), 0.5), 10), 0)</f>
        <v/>
      </c>
      <c r="AC3">
        <f>IFERROR(MIN(MROUND((((LARGE(W3:Y3,1)+LARGE(W3:Y3,2)+Z3)/3)+AA3+AB3), 0.5), 10), 0)</f>
        <v/>
      </c>
      <c r="AD3">
        <f>MROUND(IF(O3=0,H3,IF(V3=0,AVERAGE(H3,O3),IF(AC3=0,AVERAGE(H3,O3,V3),AVERAGE(H3,O3,V3,AC3)))), 0.5)</f>
        <v/>
      </c>
      <c r="AE3">
        <f>IF(AD3&gt;=6,"Aprovado","Exame")</f>
        <v/>
      </c>
    </row>
    <row r="4">
      <c r="A4" t="inlineStr">
        <is>
          <t>ANNY LUIZA GOES DE OLIVEIRA</t>
        </is>
      </c>
      <c r="H4">
        <f>IFERROR(MIN(MROUND((((LARGE(B4:D4,1)+LARGE(B4:D4,2)+E4)/3)+F4+G4), 0.5), 10), 0)</f>
        <v/>
      </c>
      <c r="O4">
        <f>IFERROR(MIN(MROUND((((LARGE(I4:K4,1)+LARGE(I4:K4,2)+L4)/3)+M4+N4), 0.5), 10), 0)</f>
        <v/>
      </c>
      <c r="V4">
        <f>IFERROR(MIN(MROUND((((LARGE(P4:R4,1)+LARGE(P4:R4,2)+S4)/3)+T4+U4), 0.5), 10), 0)</f>
        <v/>
      </c>
      <c r="AC4">
        <f>IFERROR(MIN(MROUND((((LARGE(W4:Y4,1)+LARGE(W4:Y4,2)+Z4)/3)+AA4+AB4), 0.5), 10), 0)</f>
        <v/>
      </c>
      <c r="AD4">
        <f>MROUND(IF(O4=0,H4,IF(V4=0,AVERAGE(H4,O4),IF(AC4=0,AVERAGE(H4,O4,V4),AVERAGE(H4,O4,V4,AC4)))), 0.5)</f>
        <v/>
      </c>
      <c r="AE4">
        <f>IF(AD4&gt;=6,"Aprovado","Exame")</f>
        <v/>
      </c>
    </row>
    <row r="5">
      <c r="A5" t="inlineStr">
        <is>
          <t>ARTUR GAIOSO GUIMARÃES DE OLIVEIRA</t>
        </is>
      </c>
      <c r="H5">
        <f>IFERROR(MIN(MROUND((((LARGE(B5:D5,1)+LARGE(B5:D5,2)+E5)/3)+F5+G5), 0.5), 10), 0)</f>
        <v/>
      </c>
      <c r="O5">
        <f>IFERROR(MIN(MROUND((((LARGE(I5:K5,1)+LARGE(I5:K5,2)+L5)/3)+M5+N5), 0.5), 10), 0)</f>
        <v/>
      </c>
      <c r="V5">
        <f>IFERROR(MIN(MROUND((((LARGE(P5:R5,1)+LARGE(P5:R5,2)+S5)/3)+T5+U5), 0.5), 10), 0)</f>
        <v/>
      </c>
      <c r="AC5">
        <f>IFERROR(MIN(MROUND((((LARGE(W5:Y5,1)+LARGE(W5:Y5,2)+Z5)/3)+AA5+AB5), 0.5), 10), 0)</f>
        <v/>
      </c>
      <c r="AD5">
        <f>MROUND(IF(O5=0,H5,IF(V5=0,AVERAGE(H5,O5),IF(AC5=0,AVERAGE(H5,O5,V5),AVERAGE(H5,O5,V5,AC5)))), 0.5)</f>
        <v/>
      </c>
      <c r="AE5">
        <f>IF(AD5&gt;=6,"Aprovado","Exame")</f>
        <v/>
      </c>
    </row>
    <row r="6">
      <c r="A6" t="inlineStr">
        <is>
          <t>ASTÚRIO DE MATOS OZÓRIO NETO</t>
        </is>
      </c>
      <c r="H6">
        <f>IFERROR(MIN(MROUND((((LARGE(B6:D6,1)+LARGE(B6:D6,2)+E6)/3)+F6+G6), 0.5), 10), 0)</f>
        <v/>
      </c>
      <c r="O6">
        <f>IFERROR(MIN(MROUND((((LARGE(I6:K6,1)+LARGE(I6:K6,2)+L6)/3)+M6+N6), 0.5), 10), 0)</f>
        <v/>
      </c>
      <c r="V6">
        <f>IFERROR(MIN(MROUND((((LARGE(P6:R6,1)+LARGE(P6:R6,2)+S6)/3)+T6+U6), 0.5), 10), 0)</f>
        <v/>
      </c>
      <c r="AC6">
        <f>IFERROR(MIN(MROUND((((LARGE(W6:Y6,1)+LARGE(W6:Y6,2)+Z6)/3)+AA6+AB6), 0.5), 10), 0)</f>
        <v/>
      </c>
      <c r="AD6">
        <f>MROUND(IF(O6=0,H6,IF(V6=0,AVERAGE(H6,O6),IF(AC6=0,AVERAGE(H6,O6,V6),AVERAGE(H6,O6,V6,AC6)))), 0.5)</f>
        <v/>
      </c>
      <c r="AE6">
        <f>IF(AD6&gt;=6,"Aprovado","Exame")</f>
        <v/>
      </c>
    </row>
    <row r="7">
      <c r="A7" t="inlineStr">
        <is>
          <t>AXEL AUGUSTO SANTOS SILVA</t>
        </is>
      </c>
      <c r="H7">
        <f>IFERROR(MIN(MROUND((((LARGE(B7:D7,1)+LARGE(B7:D7,2)+E7)/3)+F7+G7), 0.5), 10), 0)</f>
        <v/>
      </c>
      <c r="O7">
        <f>IFERROR(MIN(MROUND((((LARGE(I7:K7,1)+LARGE(I7:K7,2)+L7)/3)+M7+N7), 0.5), 10), 0)</f>
        <v/>
      </c>
      <c r="V7">
        <f>IFERROR(MIN(MROUND((((LARGE(P7:R7,1)+LARGE(P7:R7,2)+S7)/3)+T7+U7), 0.5), 10), 0)</f>
        <v/>
      </c>
      <c r="AC7">
        <f>IFERROR(MIN(MROUND((((LARGE(W7:Y7,1)+LARGE(W7:Y7,2)+Z7)/3)+AA7+AB7), 0.5), 10), 0)</f>
        <v/>
      </c>
      <c r="AD7">
        <f>MROUND(IF(O7=0,H7,IF(V7=0,AVERAGE(H7,O7),IF(AC7=0,AVERAGE(H7,O7,V7),AVERAGE(H7,O7,V7,AC7)))), 0.5)</f>
        <v/>
      </c>
      <c r="AE7">
        <f>IF(AD7&gt;=6,"Aprovado","Exame")</f>
        <v/>
      </c>
    </row>
    <row r="8">
      <c r="A8" t="inlineStr">
        <is>
          <t>GABRIEL FANTINI DE SOUZA</t>
        </is>
      </c>
      <c r="H8">
        <f>IFERROR(MIN(MROUND((((LARGE(B8:D8,1)+LARGE(B8:D8,2)+E8)/3)+F8+G8), 0.5), 10), 0)</f>
        <v/>
      </c>
      <c r="O8">
        <f>IFERROR(MIN(MROUND((((LARGE(I8:K8,1)+LARGE(I8:K8,2)+L8)/3)+M8+N8), 0.5), 10), 0)</f>
        <v/>
      </c>
      <c r="V8">
        <f>IFERROR(MIN(MROUND((((LARGE(P8:R8,1)+LARGE(P8:R8,2)+S8)/3)+T8+U8), 0.5), 10), 0)</f>
        <v/>
      </c>
      <c r="AC8">
        <f>IFERROR(MIN(MROUND((((LARGE(W8:Y8,1)+LARGE(W8:Y8,2)+Z8)/3)+AA8+AB8), 0.5), 10), 0)</f>
        <v/>
      </c>
      <c r="AD8">
        <f>MROUND(IF(O8=0,H8,IF(V8=0,AVERAGE(H8,O8),IF(AC8=0,AVERAGE(H8,O8,V8),AVERAGE(H8,O8,V8,AC8)))), 0.5)</f>
        <v/>
      </c>
      <c r="AE8">
        <f>IF(AD8&gt;=6,"Aprovado","Exame")</f>
        <v/>
      </c>
    </row>
    <row r="9">
      <c r="A9" t="inlineStr">
        <is>
          <t>GABRIELLA CARVALHO DE LIMA</t>
        </is>
      </c>
      <c r="H9">
        <f>IFERROR(MIN(MROUND((((LARGE(B9:D9,1)+LARGE(B9:D9,2)+E9)/3)+F9+G9), 0.5), 10), 0)</f>
        <v/>
      </c>
      <c r="O9">
        <f>IFERROR(MIN(MROUND((((LARGE(I9:K9,1)+LARGE(I9:K9,2)+L9)/3)+M9+N9), 0.5), 10), 0)</f>
        <v/>
      </c>
      <c r="V9">
        <f>IFERROR(MIN(MROUND((((LARGE(P9:R9,1)+LARGE(P9:R9,2)+S9)/3)+T9+U9), 0.5), 10), 0)</f>
        <v/>
      </c>
      <c r="AC9">
        <f>IFERROR(MIN(MROUND((((LARGE(W9:Y9,1)+LARGE(W9:Y9,2)+Z9)/3)+AA9+AB9), 0.5), 10), 0)</f>
        <v/>
      </c>
      <c r="AD9">
        <f>MROUND(IF(O9=0,H9,IF(V9=0,AVERAGE(H9,O9),IF(AC9=0,AVERAGE(H9,O9,V9),AVERAGE(H9,O9,V9,AC9)))), 0.5)</f>
        <v/>
      </c>
      <c r="AE9">
        <f>IF(AD9&gt;=6,"Aprovado","Exame")</f>
        <v/>
      </c>
    </row>
    <row r="10">
      <c r="A10" t="inlineStr">
        <is>
          <t>GENI KERYLLIN ROCHA DA SILVA</t>
        </is>
      </c>
      <c r="H10">
        <f>IFERROR(MIN(MROUND((((LARGE(B10:D10,1)+LARGE(B10:D10,2)+E10)/3)+F10+G10), 0.5), 10), 0)</f>
        <v/>
      </c>
      <c r="O10">
        <f>IFERROR(MIN(MROUND((((LARGE(I10:K10,1)+LARGE(I10:K10,2)+L10)/3)+M10+N10), 0.5), 10), 0)</f>
        <v/>
      </c>
      <c r="V10">
        <f>IFERROR(MIN(MROUND((((LARGE(P10:R10,1)+LARGE(P10:R10,2)+S10)/3)+T10+U10), 0.5), 10), 0)</f>
        <v/>
      </c>
      <c r="AC10">
        <f>IFERROR(MIN(MROUND((((LARGE(W10:Y10,1)+LARGE(W10:Y10,2)+Z10)/3)+AA10+AB10), 0.5), 10), 0)</f>
        <v/>
      </c>
      <c r="AD10">
        <f>MROUND(IF(O10=0,H10,IF(V10=0,AVERAGE(H10,O10),IF(AC10=0,AVERAGE(H10,O10,V10),AVERAGE(H10,O10,V10,AC10)))), 0.5)</f>
        <v/>
      </c>
      <c r="AE10">
        <f>IF(AD10&gt;=6,"Aprovado","Exame")</f>
        <v/>
      </c>
    </row>
    <row r="11">
      <c r="A11" t="inlineStr">
        <is>
          <t>HÉLIO ANTONIO ZARA DE SOUZA JÚNIOR</t>
        </is>
      </c>
      <c r="H11">
        <f>IFERROR(MIN(MROUND((((LARGE(B11:D11,1)+LARGE(B11:D11,2)+E11)/3)+F11+G11), 0.5), 10), 0)</f>
        <v/>
      </c>
      <c r="O11">
        <f>IFERROR(MIN(MROUND((((LARGE(I11:K11,1)+LARGE(I11:K11,2)+L11)/3)+M11+N11), 0.5), 10), 0)</f>
        <v/>
      </c>
      <c r="V11">
        <f>IFERROR(MIN(MROUND((((LARGE(P11:R11,1)+LARGE(P11:R11,2)+S11)/3)+T11+U11), 0.5), 10), 0)</f>
        <v/>
      </c>
      <c r="AC11">
        <f>IFERROR(MIN(MROUND((((LARGE(W11:Y11,1)+LARGE(W11:Y11,2)+Z11)/3)+AA11+AB11), 0.5), 10), 0)</f>
        <v/>
      </c>
      <c r="AD11">
        <f>MROUND(IF(O11=0,H11,IF(V11=0,AVERAGE(H11,O11),IF(AC11=0,AVERAGE(H11,O11,V11),AVERAGE(H11,O11,V11,AC11)))), 0.5)</f>
        <v/>
      </c>
      <c r="AE11">
        <f>IF(AD11&gt;=6,"Aprovado","Exame")</f>
        <v/>
      </c>
    </row>
    <row r="12">
      <c r="A12" t="inlineStr">
        <is>
          <t>JOÃO FELIPE COSMO FREITAS</t>
        </is>
      </c>
      <c r="H12">
        <f>IFERROR(MIN(MROUND((((LARGE(B12:D12,1)+LARGE(B12:D12,2)+E12)/3)+F12+G12), 0.5), 10), 0)</f>
        <v/>
      </c>
      <c r="O12">
        <f>IFERROR(MIN(MROUND((((LARGE(I12:K12,1)+LARGE(I12:K12,2)+L12)/3)+M12+N12), 0.5), 10), 0)</f>
        <v/>
      </c>
      <c r="V12">
        <f>IFERROR(MIN(MROUND((((LARGE(P12:R12,1)+LARGE(P12:R12,2)+S12)/3)+T12+U12), 0.5), 10), 0)</f>
        <v/>
      </c>
      <c r="AC12">
        <f>IFERROR(MIN(MROUND((((LARGE(W12:Y12,1)+LARGE(W12:Y12,2)+Z12)/3)+AA12+AB12), 0.5), 10), 0)</f>
        <v/>
      </c>
      <c r="AD12">
        <f>MROUND(IF(O12=0,H12,IF(V12=0,AVERAGE(H12,O12),IF(AC12=0,AVERAGE(H12,O12,V12),AVERAGE(H12,O12,V12,AC12)))), 0.5)</f>
        <v/>
      </c>
      <c r="AE12">
        <f>IF(AD12&gt;=6,"Aprovado","Exame")</f>
        <v/>
      </c>
    </row>
    <row r="13">
      <c r="A13" t="inlineStr">
        <is>
          <t>JOÃO GUILHERME NOCKO MONGES (T-10/03/2026)</t>
        </is>
      </c>
      <c r="H13">
        <f>IFERROR(MIN(MROUND((((LARGE(B13:D13,1)+LARGE(B13:D13,2)+E13)/3)+F13+G13), 0.5), 10), 0)</f>
        <v/>
      </c>
      <c r="O13">
        <f>IFERROR(MIN(MROUND((((LARGE(I13:K13,1)+LARGE(I13:K13,2)+L13)/3)+M13+N13), 0.5), 10), 0)</f>
        <v/>
      </c>
      <c r="V13">
        <f>IFERROR(MIN(MROUND((((LARGE(P13:R13,1)+LARGE(P13:R13,2)+S13)/3)+T13+U13), 0.5), 10), 0)</f>
        <v/>
      </c>
      <c r="AC13">
        <f>IFERROR(MIN(MROUND((((LARGE(W13:Y13,1)+LARGE(W13:Y13,2)+Z13)/3)+AA13+AB13), 0.5), 10), 0)</f>
        <v/>
      </c>
      <c r="AD13">
        <f>MROUND(IF(O13=0,H13,IF(V13=0,AVERAGE(H13,O13),IF(AC13=0,AVERAGE(H13,O13,V13),AVERAGE(H13,O13,V13,AC13)))), 0.5)</f>
        <v/>
      </c>
      <c r="AE13">
        <f>IF(AD13&gt;=6,"Aprovado","Exame")</f>
        <v/>
      </c>
    </row>
    <row r="14">
      <c r="A14" t="inlineStr">
        <is>
          <t>JOSÉ HENRIQUE SANCHES CÂNDIDO</t>
        </is>
      </c>
      <c r="H14">
        <f>IFERROR(MIN(MROUND((((LARGE(B14:D14,1)+LARGE(B14:D14,2)+E14)/3)+F14+G14), 0.5), 10), 0)</f>
        <v/>
      </c>
      <c r="O14">
        <f>IFERROR(MIN(MROUND((((LARGE(I14:K14,1)+LARGE(I14:K14,2)+L14)/3)+M14+N14), 0.5), 10), 0)</f>
        <v/>
      </c>
      <c r="V14">
        <f>IFERROR(MIN(MROUND((((LARGE(P14:R14,1)+LARGE(P14:R14,2)+S14)/3)+T14+U14), 0.5), 10), 0)</f>
        <v/>
      </c>
      <c r="AC14">
        <f>IFERROR(MIN(MROUND((((LARGE(W14:Y14,1)+LARGE(W14:Y14,2)+Z14)/3)+AA14+AB14), 0.5), 10), 0)</f>
        <v/>
      </c>
      <c r="AD14">
        <f>MROUND(IF(O14=0,H14,IF(V14=0,AVERAGE(H14,O14),IF(AC14=0,AVERAGE(H14,O14,V14),AVERAGE(H14,O14,V14,AC14)))), 0.5)</f>
        <v/>
      </c>
      <c r="AE14">
        <f>IF(AD14&gt;=6,"Aprovado","Exame")</f>
        <v/>
      </c>
    </row>
    <row r="15">
      <c r="A15" t="inlineStr">
        <is>
          <t>JÚLIA SANTOS DIAS</t>
        </is>
      </c>
      <c r="H15">
        <f>IFERROR(MIN(MROUND((((LARGE(B15:D15,1)+LARGE(B15:D15,2)+E15)/3)+F15+G15), 0.5), 10), 0)</f>
        <v/>
      </c>
      <c r="O15">
        <f>IFERROR(MIN(MROUND((((LARGE(I15:K15,1)+LARGE(I15:K15,2)+L15)/3)+M15+N15), 0.5), 10), 0)</f>
        <v/>
      </c>
      <c r="V15">
        <f>IFERROR(MIN(MROUND((((LARGE(P15:R15,1)+LARGE(P15:R15,2)+S15)/3)+T15+U15), 0.5), 10), 0)</f>
        <v/>
      </c>
      <c r="AC15">
        <f>IFERROR(MIN(MROUND((((LARGE(W15:Y15,1)+LARGE(W15:Y15,2)+Z15)/3)+AA15+AB15), 0.5), 10), 0)</f>
        <v/>
      </c>
      <c r="AD15">
        <f>MROUND(IF(O15=0,H15,IF(V15=0,AVERAGE(H15,O15),IF(AC15=0,AVERAGE(H15,O15,V15),AVERAGE(H15,O15,V15,AC15)))), 0.5)</f>
        <v/>
      </c>
      <c r="AE15">
        <f>IF(AD15&gt;=6,"Aprovado","Exame")</f>
        <v/>
      </c>
    </row>
    <row r="16">
      <c r="A16" t="inlineStr">
        <is>
          <t>KAIQUE KOLTERMANN REZENDE</t>
        </is>
      </c>
      <c r="H16">
        <f>IFERROR(MIN(MROUND((((LARGE(B16:D16,1)+LARGE(B16:D16,2)+E16)/3)+F16+G16), 0.5), 10), 0)</f>
        <v/>
      </c>
      <c r="O16">
        <f>IFERROR(MIN(MROUND((((LARGE(I16:K16,1)+LARGE(I16:K16,2)+L16)/3)+M16+N16), 0.5), 10), 0)</f>
        <v/>
      </c>
      <c r="V16">
        <f>IFERROR(MIN(MROUND((((LARGE(P16:R16,1)+LARGE(P16:R16,2)+S16)/3)+T16+U16), 0.5), 10), 0)</f>
        <v/>
      </c>
      <c r="AC16">
        <f>IFERROR(MIN(MROUND((((LARGE(W16:Y16,1)+LARGE(W16:Y16,2)+Z16)/3)+AA16+AB16), 0.5), 10), 0)</f>
        <v/>
      </c>
      <c r="AD16">
        <f>MROUND(IF(O16=0,H16,IF(V16=0,AVERAGE(H16,O16),IF(AC16=0,AVERAGE(H16,O16,V16),AVERAGE(H16,O16,V16,AC16)))), 0.5)</f>
        <v/>
      </c>
      <c r="AE16">
        <f>IF(AD16&gt;=6,"Aprovado","Exame")</f>
        <v/>
      </c>
    </row>
    <row r="17">
      <c r="A17" t="inlineStr">
        <is>
          <t>KELVIN HENRIQUE DE OLIVEIRA DA SILVA</t>
        </is>
      </c>
      <c r="H17">
        <f>IFERROR(MIN(MROUND((((LARGE(B17:D17,1)+LARGE(B17:D17,2)+E17)/3)+F17+G17), 0.5), 10), 0)</f>
        <v/>
      </c>
      <c r="O17">
        <f>IFERROR(MIN(MROUND((((LARGE(I17:K17,1)+LARGE(I17:K17,2)+L17)/3)+M17+N17), 0.5), 10), 0)</f>
        <v/>
      </c>
      <c r="V17">
        <f>IFERROR(MIN(MROUND((((LARGE(P17:R17,1)+LARGE(P17:R17,2)+S17)/3)+T17+U17), 0.5), 10), 0)</f>
        <v/>
      </c>
      <c r="AC17">
        <f>IFERROR(MIN(MROUND((((LARGE(W17:Y17,1)+LARGE(W17:Y17,2)+Z17)/3)+AA17+AB17), 0.5), 10), 0)</f>
        <v/>
      </c>
      <c r="AD17">
        <f>MROUND(IF(O17=0,H17,IF(V17=0,AVERAGE(H17,O17),IF(AC17=0,AVERAGE(H17,O17,V17),AVERAGE(H17,O17,V17,AC17)))), 0.5)</f>
        <v/>
      </c>
      <c r="AE17">
        <f>IF(AD17&gt;=6,"Aprovado","Exame")</f>
        <v/>
      </c>
    </row>
    <row r="18">
      <c r="A18" t="inlineStr">
        <is>
          <t>LAÍS VALVERDE DE FARIA MUZILI</t>
        </is>
      </c>
      <c r="H18">
        <f>IFERROR(MIN(MROUND((((LARGE(B18:D18,1)+LARGE(B18:D18,2)+E18)/3)+F18+G18), 0.5), 10), 0)</f>
        <v/>
      </c>
      <c r="O18">
        <f>IFERROR(MIN(MROUND((((LARGE(I18:K18,1)+LARGE(I18:K18,2)+L18)/3)+M18+N18), 0.5), 10), 0)</f>
        <v/>
      </c>
      <c r="V18">
        <f>IFERROR(MIN(MROUND((((LARGE(P18:R18,1)+LARGE(P18:R18,2)+S18)/3)+T18+U18), 0.5), 10), 0)</f>
        <v/>
      </c>
      <c r="AC18">
        <f>IFERROR(MIN(MROUND((((LARGE(W18:Y18,1)+LARGE(W18:Y18,2)+Z18)/3)+AA18+AB18), 0.5), 10), 0)</f>
        <v/>
      </c>
      <c r="AD18">
        <f>MROUND(IF(O18=0,H18,IF(V18=0,AVERAGE(H18,O18),IF(AC18=0,AVERAGE(H18,O18,V18),AVERAGE(H18,O18,V18,AC18)))), 0.5)</f>
        <v/>
      </c>
      <c r="AE18">
        <f>IF(AD18&gt;=6,"Aprovado","Exame")</f>
        <v/>
      </c>
    </row>
    <row r="19">
      <c r="A19" t="inlineStr">
        <is>
          <t>LUCAS DAVI MAGALHÃES DE LIMA</t>
        </is>
      </c>
      <c r="H19">
        <f>IFERROR(MIN(MROUND((((LARGE(B19:D19,1)+LARGE(B19:D19,2)+E19)/3)+F19+G19), 0.5), 10), 0)</f>
        <v/>
      </c>
      <c r="O19">
        <f>IFERROR(MIN(MROUND((((LARGE(I19:K19,1)+LARGE(I19:K19,2)+L19)/3)+M19+N19), 0.5), 10), 0)</f>
        <v/>
      </c>
      <c r="V19">
        <f>IFERROR(MIN(MROUND((((LARGE(P19:R19,1)+LARGE(P19:R19,2)+S19)/3)+T19+U19), 0.5), 10), 0)</f>
        <v/>
      </c>
      <c r="AC19">
        <f>IFERROR(MIN(MROUND((((LARGE(W19:Y19,1)+LARGE(W19:Y19,2)+Z19)/3)+AA19+AB19), 0.5), 10), 0)</f>
        <v/>
      </c>
      <c r="AD19">
        <f>MROUND(IF(O19=0,H19,IF(V19=0,AVERAGE(H19,O19),IF(AC19=0,AVERAGE(H19,O19,V19),AVERAGE(H19,O19,V19,AC19)))), 0.5)</f>
        <v/>
      </c>
      <c r="AE19">
        <f>IF(AD19&gt;=6,"Aprovado","Exame")</f>
        <v/>
      </c>
    </row>
    <row r="20">
      <c r="A20" t="inlineStr">
        <is>
          <t>MARCELLA FEIJÓ TALHATTI</t>
        </is>
      </c>
      <c r="H20">
        <f>IFERROR(MIN(MROUND((((LARGE(B20:D20,1)+LARGE(B20:D20,2)+E20)/3)+F20+G20), 0.5), 10), 0)</f>
        <v/>
      </c>
      <c r="O20">
        <f>IFERROR(MIN(MROUND((((LARGE(I20:K20,1)+LARGE(I20:K20,2)+L20)/3)+M20+N20), 0.5), 10), 0)</f>
        <v/>
      </c>
      <c r="V20">
        <f>IFERROR(MIN(MROUND((((LARGE(P20:R20,1)+LARGE(P20:R20,2)+S20)/3)+T20+U20), 0.5), 10), 0)</f>
        <v/>
      </c>
      <c r="AC20">
        <f>IFERROR(MIN(MROUND((((LARGE(W20:Y20,1)+LARGE(W20:Y20,2)+Z20)/3)+AA20+AB20), 0.5), 10), 0)</f>
        <v/>
      </c>
      <c r="AD20">
        <f>MROUND(IF(O20=0,H20,IF(V20=0,AVERAGE(H20,O20),IF(AC20=0,AVERAGE(H20,O20,V20),AVERAGE(H20,O20,V20,AC20)))), 0.5)</f>
        <v/>
      </c>
      <c r="AE20">
        <f>IF(AD20&gt;=6,"Aprovado","Exame")</f>
        <v/>
      </c>
    </row>
    <row r="21">
      <c r="A21" t="inlineStr">
        <is>
          <t>MARCO AURELIO SANCHES PAREDES</t>
        </is>
      </c>
      <c r="H21">
        <f>IFERROR(MIN(MROUND((((LARGE(B21:D21,1)+LARGE(B21:D21,2)+E21)/3)+F21+G21), 0.5), 10), 0)</f>
        <v/>
      </c>
      <c r="O21">
        <f>IFERROR(MIN(MROUND((((LARGE(I21:K21,1)+LARGE(I21:K21,2)+L21)/3)+M21+N21), 0.5), 10), 0)</f>
        <v/>
      </c>
      <c r="V21">
        <f>IFERROR(MIN(MROUND((((LARGE(P21:R21,1)+LARGE(P21:R21,2)+S21)/3)+T21+U21), 0.5), 10), 0)</f>
        <v/>
      </c>
      <c r="AC21">
        <f>IFERROR(MIN(MROUND((((LARGE(W21:Y21,1)+LARGE(W21:Y21,2)+Z21)/3)+AA21+AB21), 0.5), 10), 0)</f>
        <v/>
      </c>
      <c r="AD21">
        <f>MROUND(IF(O21=0,H21,IF(V21=0,AVERAGE(H21,O21),IF(AC21=0,AVERAGE(H21,O21,V21),AVERAGE(H21,O21,V21,AC21)))), 0.5)</f>
        <v/>
      </c>
      <c r="AE21">
        <f>IF(AD21&gt;=6,"Aprovado","Exame")</f>
        <v/>
      </c>
    </row>
    <row r="22">
      <c r="A22" t="inlineStr">
        <is>
          <t>MARIA EDUARDA MORAES ALENCASTRO</t>
        </is>
      </c>
      <c r="H22">
        <f>IFERROR(MIN(MROUND((((LARGE(B22:D22,1)+LARGE(B22:D22,2)+E22)/3)+F22+G22), 0.5), 10), 0)</f>
        <v/>
      </c>
      <c r="O22">
        <f>IFERROR(MIN(MROUND((((LARGE(I22:K22,1)+LARGE(I22:K22,2)+L22)/3)+M22+N22), 0.5), 10), 0)</f>
        <v/>
      </c>
      <c r="V22">
        <f>IFERROR(MIN(MROUND((((LARGE(P22:R22,1)+LARGE(P22:R22,2)+S22)/3)+T22+U22), 0.5), 10), 0)</f>
        <v/>
      </c>
      <c r="AC22">
        <f>IFERROR(MIN(MROUND((((LARGE(W22:Y22,1)+LARGE(W22:Y22,2)+Z22)/3)+AA22+AB22), 0.5), 10), 0)</f>
        <v/>
      </c>
      <c r="AD22">
        <f>MROUND(IF(O22=0,H22,IF(V22=0,AVERAGE(H22,O22),IF(AC22=0,AVERAGE(H22,O22,V22),AVERAGE(H22,O22,V22,AC22)))), 0.5)</f>
        <v/>
      </c>
      <c r="AE22">
        <f>IF(AD22&gt;=6,"Aprovado","Exame")</f>
        <v/>
      </c>
    </row>
    <row r="23">
      <c r="A23" t="inlineStr">
        <is>
          <t>MARIA EDUARDA NEVES LIMA</t>
        </is>
      </c>
      <c r="H23">
        <f>IFERROR(MIN(MROUND((((LARGE(B23:D23,1)+LARGE(B23:D23,2)+E23)/3)+F23+G23), 0.5), 10), 0)</f>
        <v/>
      </c>
      <c r="O23">
        <f>IFERROR(MIN(MROUND((((LARGE(I23:K23,1)+LARGE(I23:K23,2)+L23)/3)+M23+N23), 0.5), 10), 0)</f>
        <v/>
      </c>
      <c r="V23">
        <f>IFERROR(MIN(MROUND((((LARGE(P23:R23,1)+LARGE(P23:R23,2)+S23)/3)+T23+U23), 0.5), 10), 0)</f>
        <v/>
      </c>
      <c r="AC23">
        <f>IFERROR(MIN(MROUND((((LARGE(W23:Y23,1)+LARGE(W23:Y23,2)+Z23)/3)+AA23+AB23), 0.5), 10), 0)</f>
        <v/>
      </c>
      <c r="AD23">
        <f>MROUND(IF(O23=0,H23,IF(V23=0,AVERAGE(H23,O23),IF(AC23=0,AVERAGE(H23,O23,V23),AVERAGE(H23,O23,V23,AC23)))), 0.5)</f>
        <v/>
      </c>
      <c r="AE23">
        <f>IF(AD23&gt;=6,"Aprovado","Exame")</f>
        <v/>
      </c>
    </row>
    <row r="24">
      <c r="A24" t="inlineStr">
        <is>
          <t>MARIA VICTÓRIA RIBEIRO LIMA</t>
        </is>
      </c>
      <c r="H24">
        <f>IFERROR(MIN(MROUND((((LARGE(B24:D24,1)+LARGE(B24:D24,2)+E24)/3)+F24+G24), 0.5), 10), 0)</f>
        <v/>
      </c>
      <c r="O24">
        <f>IFERROR(MIN(MROUND((((LARGE(I24:K24,1)+LARGE(I24:K24,2)+L24)/3)+M24+N24), 0.5), 10), 0)</f>
        <v/>
      </c>
      <c r="V24">
        <f>IFERROR(MIN(MROUND((((LARGE(P24:R24,1)+LARGE(P24:R24,2)+S24)/3)+T24+U24), 0.5), 10), 0)</f>
        <v/>
      </c>
      <c r="AC24">
        <f>IFERROR(MIN(MROUND((((LARGE(W24:Y24,1)+LARGE(W24:Y24,2)+Z24)/3)+AA24+AB24), 0.5), 10), 0)</f>
        <v/>
      </c>
      <c r="AD24">
        <f>MROUND(IF(O24=0,H24,IF(V24=0,AVERAGE(H24,O24),IF(AC24=0,AVERAGE(H24,O24,V24),AVERAGE(H24,O24,V24,AC24)))), 0.5)</f>
        <v/>
      </c>
      <c r="AE24">
        <f>IF(AD24&gt;=6,"Aprovado","Exame")</f>
        <v/>
      </c>
    </row>
    <row r="25">
      <c r="A25" t="inlineStr">
        <is>
          <t>MÁRIO GALEANO FLORES FILHO</t>
        </is>
      </c>
      <c r="H25">
        <f>IFERROR(MIN(MROUND((((LARGE(B25:D25,1)+LARGE(B25:D25,2)+E25)/3)+F25+G25), 0.5), 10), 0)</f>
        <v/>
      </c>
      <c r="O25">
        <f>IFERROR(MIN(MROUND((((LARGE(I25:K25,1)+LARGE(I25:K25,2)+L25)/3)+M25+N25), 0.5), 10), 0)</f>
        <v/>
      </c>
      <c r="V25">
        <f>IFERROR(MIN(MROUND((((LARGE(P25:R25,1)+LARGE(P25:R25,2)+S25)/3)+T25+U25), 0.5), 10), 0)</f>
        <v/>
      </c>
      <c r="AC25">
        <f>IFERROR(MIN(MROUND((((LARGE(W25:Y25,1)+LARGE(W25:Y25,2)+Z25)/3)+AA25+AB25), 0.5), 10), 0)</f>
        <v/>
      </c>
      <c r="AD25">
        <f>MROUND(IF(O25=0,H25,IF(V25=0,AVERAGE(H25,O25),IF(AC25=0,AVERAGE(H25,O25,V25),AVERAGE(H25,O25,V25,AC25)))), 0.5)</f>
        <v/>
      </c>
      <c r="AE25">
        <f>IF(AD25&gt;=6,"Aprovado","Exame")</f>
        <v/>
      </c>
    </row>
    <row r="26">
      <c r="A26" t="inlineStr">
        <is>
          <t>MATHEUS GONÇALVES GOMES</t>
        </is>
      </c>
      <c r="H26">
        <f>IFERROR(MIN(MROUND((((LARGE(B26:D26,1)+LARGE(B26:D26,2)+E26)/3)+F26+G26), 0.5), 10), 0)</f>
        <v/>
      </c>
      <c r="O26">
        <f>IFERROR(MIN(MROUND((((LARGE(I26:K26,1)+LARGE(I26:K26,2)+L26)/3)+M26+N26), 0.5), 10), 0)</f>
        <v/>
      </c>
      <c r="V26">
        <f>IFERROR(MIN(MROUND((((LARGE(P26:R26,1)+LARGE(P26:R26,2)+S26)/3)+T26+U26), 0.5), 10), 0)</f>
        <v/>
      </c>
      <c r="AC26">
        <f>IFERROR(MIN(MROUND((((LARGE(W26:Y26,1)+LARGE(W26:Y26,2)+Z26)/3)+AA26+AB26), 0.5), 10), 0)</f>
        <v/>
      </c>
      <c r="AD26">
        <f>MROUND(IF(O26=0,H26,IF(V26=0,AVERAGE(H26,O26),IF(AC26=0,AVERAGE(H26,O26,V26),AVERAGE(H26,O26,V26,AC26)))), 0.5)</f>
        <v/>
      </c>
      <c r="AE26">
        <f>IF(AD26&gt;=6,"Aprovado","Exame")</f>
        <v/>
      </c>
    </row>
    <row r="27">
      <c r="A27" t="inlineStr">
        <is>
          <t>MURILO ALVES RIBEIRO AGOSTINHO</t>
        </is>
      </c>
      <c r="H27">
        <f>IFERROR(MIN(MROUND((((LARGE(B27:D27,1)+LARGE(B27:D27,2)+E27)/3)+F27+G27), 0.5), 10), 0)</f>
        <v/>
      </c>
      <c r="O27">
        <f>IFERROR(MIN(MROUND((((LARGE(I27:K27,1)+LARGE(I27:K27,2)+L27)/3)+M27+N27), 0.5), 10), 0)</f>
        <v/>
      </c>
      <c r="V27">
        <f>IFERROR(MIN(MROUND((((LARGE(P27:R27,1)+LARGE(P27:R27,2)+S27)/3)+T27+U27), 0.5), 10), 0)</f>
        <v/>
      </c>
      <c r="AC27">
        <f>IFERROR(MIN(MROUND((((LARGE(W27:Y27,1)+LARGE(W27:Y27,2)+Z27)/3)+AA27+AB27), 0.5), 10), 0)</f>
        <v/>
      </c>
      <c r="AD27">
        <f>MROUND(IF(O27=0,H27,IF(V27=0,AVERAGE(H27,O27),IF(AC27=0,AVERAGE(H27,O27,V27),AVERAGE(H27,O27,V27,AC27)))), 0.5)</f>
        <v/>
      </c>
      <c r="AE27">
        <f>IF(AD27&gt;=6,"Aprovado","Exame")</f>
        <v/>
      </c>
    </row>
    <row r="28">
      <c r="A28" t="inlineStr">
        <is>
          <t>MURILO SCHMIDT SOZZA</t>
        </is>
      </c>
      <c r="H28">
        <f>IFERROR(MIN(MROUND((((LARGE(B28:D28,1)+LARGE(B28:D28,2)+E28)/3)+F28+G28), 0.5), 10), 0)</f>
        <v/>
      </c>
      <c r="O28">
        <f>IFERROR(MIN(MROUND((((LARGE(I28:K28,1)+LARGE(I28:K28,2)+L28)/3)+M28+N28), 0.5), 10), 0)</f>
        <v/>
      </c>
      <c r="V28">
        <f>IFERROR(MIN(MROUND((((LARGE(P28:R28,1)+LARGE(P28:R28,2)+S28)/3)+T28+U28), 0.5), 10), 0)</f>
        <v/>
      </c>
      <c r="AC28">
        <f>IFERROR(MIN(MROUND((((LARGE(W28:Y28,1)+LARGE(W28:Y28,2)+Z28)/3)+AA28+AB28), 0.5), 10), 0)</f>
        <v/>
      </c>
      <c r="AD28">
        <f>MROUND(IF(O28=0,H28,IF(V28=0,AVERAGE(H28,O28),IF(AC28=0,AVERAGE(H28,O28,V28),AVERAGE(H28,O28,V28,AC28)))), 0.5)</f>
        <v/>
      </c>
      <c r="AE28">
        <f>IF(AD28&gt;=6,"Aprovado","Exame")</f>
        <v/>
      </c>
    </row>
    <row r="29">
      <c r="A29" t="inlineStr">
        <is>
          <t>NICOLAS FLORES AMARAL</t>
        </is>
      </c>
      <c r="H29">
        <f>IFERROR(MIN(MROUND((((LARGE(B29:D29,1)+LARGE(B29:D29,2)+E29)/3)+F29+G29), 0.5), 10), 0)</f>
        <v/>
      </c>
      <c r="O29">
        <f>IFERROR(MIN(MROUND((((LARGE(I29:K29,1)+LARGE(I29:K29,2)+L29)/3)+M29+N29), 0.5), 10), 0)</f>
        <v/>
      </c>
      <c r="V29">
        <f>IFERROR(MIN(MROUND((((LARGE(P29:R29,1)+LARGE(P29:R29,2)+S29)/3)+T29+U29), 0.5), 10), 0)</f>
        <v/>
      </c>
      <c r="AC29">
        <f>IFERROR(MIN(MROUND((((LARGE(W29:Y29,1)+LARGE(W29:Y29,2)+Z29)/3)+AA29+AB29), 0.5), 10), 0)</f>
        <v/>
      </c>
      <c r="AD29">
        <f>MROUND(IF(O29=0,H29,IF(V29=0,AVERAGE(H29,O29),IF(AC29=0,AVERAGE(H29,O29,V29),AVERAGE(H29,O29,V29,AC29)))), 0.5)</f>
        <v/>
      </c>
      <c r="AE29">
        <f>IF(AD29&gt;=6,"Aprovado","Exame")</f>
        <v/>
      </c>
    </row>
    <row r="30">
      <c r="A30" t="inlineStr">
        <is>
          <t>PABLO DOMINGUEZ DOS SANTOS</t>
        </is>
      </c>
      <c r="H30">
        <f>IFERROR(MIN(MROUND((((LARGE(B30:D30,1)+LARGE(B30:D30,2)+E30)/3)+F30+G30), 0.5), 10), 0)</f>
        <v/>
      </c>
      <c r="O30">
        <f>IFERROR(MIN(MROUND((((LARGE(I30:K30,1)+LARGE(I30:K30,2)+L30)/3)+M30+N30), 0.5), 10), 0)</f>
        <v/>
      </c>
      <c r="V30">
        <f>IFERROR(MIN(MROUND((((LARGE(P30:R30,1)+LARGE(P30:R30,2)+S30)/3)+T30+U30), 0.5), 10), 0)</f>
        <v/>
      </c>
      <c r="AC30">
        <f>IFERROR(MIN(MROUND((((LARGE(W30:Y30,1)+LARGE(W30:Y30,2)+Z30)/3)+AA30+AB30), 0.5), 10), 0)</f>
        <v/>
      </c>
      <c r="AD30">
        <f>MROUND(IF(O30=0,H30,IF(V30=0,AVERAGE(H30,O30),IF(AC30=0,AVERAGE(H30,O30,V30),AVERAGE(H30,O30,V30,AC30)))), 0.5)</f>
        <v/>
      </c>
      <c r="AE30">
        <f>IF(AD30&gt;=6,"Aprovado","Exame")</f>
        <v/>
      </c>
    </row>
    <row r="31">
      <c r="A31" t="inlineStr">
        <is>
          <t>PAULO HENRIQUE SOUZA DE MENDONÇA</t>
        </is>
      </c>
      <c r="H31">
        <f>IFERROR(MIN(MROUND((((LARGE(B31:D31,1)+LARGE(B31:D31,2)+E31)/3)+F31+G31), 0.5), 10), 0)</f>
        <v/>
      </c>
      <c r="O31">
        <f>IFERROR(MIN(MROUND((((LARGE(I31:K31,1)+LARGE(I31:K31,2)+L31)/3)+M31+N31), 0.5), 10), 0)</f>
        <v/>
      </c>
      <c r="V31">
        <f>IFERROR(MIN(MROUND((((LARGE(P31:R31,1)+LARGE(P31:R31,2)+S31)/3)+T31+U31), 0.5), 10), 0)</f>
        <v/>
      </c>
      <c r="AC31">
        <f>IFERROR(MIN(MROUND((((LARGE(W31:Y31,1)+LARGE(W31:Y31,2)+Z31)/3)+AA31+AB31), 0.5), 10), 0)</f>
        <v/>
      </c>
      <c r="AD31">
        <f>MROUND(IF(O31=0,H31,IF(V31=0,AVERAGE(H31,O31),IF(AC31=0,AVERAGE(H31,O31,V31),AVERAGE(H31,O31,V31,AC31)))), 0.5)</f>
        <v/>
      </c>
      <c r="AE31">
        <f>IF(AD31&gt;=6,"Aprovado","Exame")</f>
        <v/>
      </c>
    </row>
    <row r="32">
      <c r="A32" t="inlineStr">
        <is>
          <t>PEDRO HENRIQUE LEAL GENOBIE DA COSTA</t>
        </is>
      </c>
      <c r="H32">
        <f>IFERROR(MIN(MROUND((((LARGE(B32:D32,1)+LARGE(B32:D32,2)+E32)/3)+F32+G32), 0.5), 10), 0)</f>
        <v/>
      </c>
      <c r="O32">
        <f>IFERROR(MIN(MROUND((((LARGE(I32:K32,1)+LARGE(I32:K32,2)+L32)/3)+M32+N32), 0.5), 10), 0)</f>
        <v/>
      </c>
      <c r="V32">
        <f>IFERROR(MIN(MROUND((((LARGE(P32:R32,1)+LARGE(P32:R32,2)+S32)/3)+T32+U32), 0.5), 10), 0)</f>
        <v/>
      </c>
      <c r="AC32">
        <f>IFERROR(MIN(MROUND((((LARGE(W32:Y32,1)+LARGE(W32:Y32,2)+Z32)/3)+AA32+AB32), 0.5), 10), 0)</f>
        <v/>
      </c>
      <c r="AD32">
        <f>MROUND(IF(O32=0,H32,IF(V32=0,AVERAGE(H32,O32),IF(AC32=0,AVERAGE(H32,O32,V32),AVERAGE(H32,O32,V32,AC32)))), 0.5)</f>
        <v/>
      </c>
      <c r="AE32">
        <f>IF(AD32&gt;=6,"Aprovado","Exame")</f>
        <v/>
      </c>
    </row>
    <row r="33">
      <c r="A33" t="inlineStr">
        <is>
          <t>PEDRO HENRIQUE PAES MIGUEL</t>
        </is>
      </c>
      <c r="H33">
        <f>IFERROR(MIN(MROUND((((LARGE(B33:D33,1)+LARGE(B33:D33,2)+E33)/3)+F33+G33), 0.5), 10), 0)</f>
        <v/>
      </c>
      <c r="O33">
        <f>IFERROR(MIN(MROUND((((LARGE(I33:K33,1)+LARGE(I33:K33,2)+L33)/3)+M33+N33), 0.5), 10), 0)</f>
        <v/>
      </c>
      <c r="V33">
        <f>IFERROR(MIN(MROUND((((LARGE(P33:R33,1)+LARGE(P33:R33,2)+S33)/3)+T33+U33), 0.5), 10), 0)</f>
        <v/>
      </c>
      <c r="AC33">
        <f>IFERROR(MIN(MROUND((((LARGE(W33:Y33,1)+LARGE(W33:Y33,2)+Z33)/3)+AA33+AB33), 0.5), 10), 0)</f>
        <v/>
      </c>
      <c r="AD33">
        <f>MROUND(IF(O33=0,H33,IF(V33=0,AVERAGE(H33,O33),IF(AC33=0,AVERAGE(H33,O33,V33),AVERAGE(H33,O33,V33,AC33)))), 0.5)</f>
        <v/>
      </c>
      <c r="AE33">
        <f>IF(AD33&gt;=6,"Aprovado","Exame")</f>
        <v/>
      </c>
    </row>
    <row r="34">
      <c r="A34" t="inlineStr">
        <is>
          <t>RAFAEL AUGUSTO BRITEZ GONSALES</t>
        </is>
      </c>
      <c r="H34">
        <f>IFERROR(MIN(MROUND((((LARGE(B34:D34,1)+LARGE(B34:D34,2)+E34)/3)+F34+G34), 0.5), 10), 0)</f>
        <v/>
      </c>
      <c r="O34">
        <f>IFERROR(MIN(MROUND((((LARGE(I34:K34,1)+LARGE(I34:K34,2)+L34)/3)+M34+N34), 0.5), 10), 0)</f>
        <v/>
      </c>
      <c r="V34">
        <f>IFERROR(MIN(MROUND((((LARGE(P34:R34,1)+LARGE(P34:R34,2)+S34)/3)+T34+U34), 0.5), 10), 0)</f>
        <v/>
      </c>
      <c r="AC34">
        <f>IFERROR(MIN(MROUND((((LARGE(W34:Y34,1)+LARGE(W34:Y34,2)+Z34)/3)+AA34+AB34), 0.5), 10), 0)</f>
        <v/>
      </c>
      <c r="AD34">
        <f>MROUND(IF(O34=0,H34,IF(V34=0,AVERAGE(H34,O34),IF(AC34=0,AVERAGE(H34,O34,V34),AVERAGE(H34,O34,V34,AC34)))), 0.5)</f>
        <v/>
      </c>
      <c r="AE34">
        <f>IF(AD34&gt;=6,"Aprovado","Exame")</f>
        <v/>
      </c>
    </row>
    <row r="35">
      <c r="A35" t="inlineStr">
        <is>
          <t>RAFAEL ORTIZ FREITAS</t>
        </is>
      </c>
      <c r="H35">
        <f>IFERROR(MIN(MROUND((((LARGE(B35:D35,1)+LARGE(B35:D35,2)+E35)/3)+F35+G35), 0.5), 10), 0)</f>
        <v/>
      </c>
      <c r="O35">
        <f>IFERROR(MIN(MROUND((((LARGE(I35:K35,1)+LARGE(I35:K35,2)+L35)/3)+M35+N35), 0.5), 10), 0)</f>
        <v/>
      </c>
      <c r="V35">
        <f>IFERROR(MIN(MROUND((((LARGE(P35:R35,1)+LARGE(P35:R35,2)+S35)/3)+T35+U35), 0.5), 10), 0)</f>
        <v/>
      </c>
      <c r="AC35">
        <f>IFERROR(MIN(MROUND((((LARGE(W35:Y35,1)+LARGE(W35:Y35,2)+Z35)/3)+AA35+AB35), 0.5), 10), 0)</f>
        <v/>
      </c>
      <c r="AD35">
        <f>MROUND(IF(O35=0,H35,IF(V35=0,AVERAGE(H35,O35),IF(AC35=0,AVERAGE(H35,O35,V35),AVERAGE(H35,O35,V35,AC35)))), 0.5)</f>
        <v/>
      </c>
      <c r="AE35">
        <f>IF(AD35&gt;=6,"Aprovado","Exame")</f>
        <v/>
      </c>
    </row>
    <row r="36">
      <c r="A36" t="inlineStr">
        <is>
          <t>SAMUEL DA ROCHA BARBOSA</t>
        </is>
      </c>
      <c r="H36">
        <f>IFERROR(MIN(MROUND((((LARGE(B36:D36,1)+LARGE(B36:D36,2)+E36)/3)+F36+G36), 0.5), 10), 0)</f>
        <v/>
      </c>
      <c r="O36">
        <f>IFERROR(MIN(MROUND((((LARGE(I36:K36,1)+LARGE(I36:K36,2)+L36)/3)+M36+N36), 0.5), 10), 0)</f>
        <v/>
      </c>
      <c r="V36">
        <f>IFERROR(MIN(MROUND((((LARGE(P36:R36,1)+LARGE(P36:R36,2)+S36)/3)+T36+U36), 0.5), 10), 0)</f>
        <v/>
      </c>
      <c r="AC36">
        <f>IFERROR(MIN(MROUND((((LARGE(W36:Y36,1)+LARGE(W36:Y36,2)+Z36)/3)+AA36+AB36), 0.5), 10), 0)</f>
        <v/>
      </c>
      <c r="AD36">
        <f>MROUND(IF(O36=0,H36,IF(V36=0,AVERAGE(H36,O36),IF(AC36=0,AVERAGE(H36,O36,V36),AVERAGE(H36,O36,V36,AC36)))), 0.5)</f>
        <v/>
      </c>
      <c r="AE36">
        <f>IF(AD36&gt;=6,"Aprovado","Exame")</f>
        <v/>
      </c>
    </row>
    <row r="37">
      <c r="A37" t="inlineStr">
        <is>
          <t>STEFFANY PEREIRA BATHEL NEVES</t>
        </is>
      </c>
      <c r="H37">
        <f>IFERROR(MIN(MROUND((((LARGE(B37:D37,1)+LARGE(B37:D37,2)+E37)/3)+F37+G37), 0.5), 10), 0)</f>
        <v/>
      </c>
      <c r="O37">
        <f>IFERROR(MIN(MROUND((((LARGE(I37:K37,1)+LARGE(I37:K37,2)+L37)/3)+M37+N37), 0.5), 10), 0)</f>
        <v/>
      </c>
      <c r="V37">
        <f>IFERROR(MIN(MROUND((((LARGE(P37:R37,1)+LARGE(P37:R37,2)+S37)/3)+T37+U37), 0.5), 10), 0)</f>
        <v/>
      </c>
      <c r="AC37">
        <f>IFERROR(MIN(MROUND((((LARGE(W37:Y37,1)+LARGE(W37:Y37,2)+Z37)/3)+AA37+AB37), 0.5), 10), 0)</f>
        <v/>
      </c>
      <c r="AD37">
        <f>MROUND(IF(O37=0,H37,IF(V37=0,AVERAGE(H37,O37),IF(AC37=0,AVERAGE(H37,O37,V37),AVERAGE(H37,O37,V37,AC37)))), 0.5)</f>
        <v/>
      </c>
      <c r="AE37">
        <f>IF(AD37&gt;=6,"Aprovado","Exame")</f>
        <v/>
      </c>
    </row>
    <row r="38">
      <c r="A38" t="inlineStr">
        <is>
          <t>VÍTOR HUGO ARAUJO FEDRIZZI</t>
        </is>
      </c>
      <c r="H38">
        <f>IFERROR(MIN(MROUND((((LARGE(B38:D38,1)+LARGE(B38:D38,2)+E38)/3)+F38+G38), 0.5), 10), 0)</f>
        <v/>
      </c>
      <c r="O38">
        <f>IFERROR(MIN(MROUND((((LARGE(I38:K38,1)+LARGE(I38:K38,2)+L38)/3)+M38+N38), 0.5), 10), 0)</f>
        <v/>
      </c>
      <c r="V38">
        <f>IFERROR(MIN(MROUND((((LARGE(P38:R38,1)+LARGE(P38:R38,2)+S38)/3)+T38+U38), 0.5), 10), 0)</f>
        <v/>
      </c>
      <c r="AC38">
        <f>IFERROR(MIN(MROUND((((LARGE(W38:Y38,1)+LARGE(W38:Y38,2)+Z38)/3)+AA38+AB38), 0.5), 10), 0)</f>
        <v/>
      </c>
      <c r="AD38">
        <f>MROUND(IF(O38=0,H38,IF(V38=0,AVERAGE(H38,O38),IF(AC38=0,AVERAGE(H38,O38,V38),AVERAGE(H38,O38,V38,AC38)))), 0.5)</f>
        <v/>
      </c>
      <c r="AE38">
        <f>IF(AD38&gt;=6,"Aprovado","Exame")</f>
        <v/>
      </c>
    </row>
    <row r="39">
      <c r="A39" t="inlineStr">
        <is>
          <t>MONIQUE BORGO VALENCIA</t>
        </is>
      </c>
      <c r="H39">
        <f>IFERROR(MIN(MROUND((((LARGE(B39:D39,1)+LARGE(B39:D39,2)+E39)/3)+F39+G39), 0.5), 10), 0)</f>
        <v/>
      </c>
      <c r="O39">
        <f>IFERROR(MIN(MROUND((((LARGE(I39:K39,1)+LARGE(I39:K39,2)+L39)/3)+M39+N39), 0.5), 10), 0)</f>
        <v/>
      </c>
      <c r="V39">
        <f>IFERROR(MIN(MROUND((((LARGE(P39:R39,1)+LARGE(P39:R39,2)+S39)/3)+T39+U39), 0.5), 10), 0)</f>
        <v/>
      </c>
      <c r="AC39">
        <f>IFERROR(MIN(MROUND((((LARGE(W39:Y39,1)+LARGE(W39:Y39,2)+Z39)/3)+AA39+AB39), 0.5), 10), 0)</f>
        <v/>
      </c>
      <c r="AD39">
        <f>MROUND(IF(O39=0,H39,IF(V39=0,AVERAGE(H39,O39),IF(AC39=0,AVERAGE(H39,O39,V39),AVERAGE(H39,O39,V39,AC39)))), 0.5)</f>
        <v/>
      </c>
      <c r="AE39">
        <f>IF(AD39&gt;=6,"Aprovado","Exame")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N1_B1</t>
        </is>
      </c>
      <c r="C1" t="inlineStr">
        <is>
          <t>N2_B1</t>
        </is>
      </c>
      <c r="D1" t="inlineStr">
        <is>
          <t>N3_B1</t>
        </is>
      </c>
      <c r="E1" t="inlineStr">
        <is>
          <t>N4_B1</t>
        </is>
      </c>
      <c r="F1" t="inlineStr">
        <is>
          <t>Atv1_B1</t>
        </is>
      </c>
      <c r="G1" t="inlineStr">
        <is>
          <t>Atv2_B1</t>
        </is>
      </c>
      <c r="H1" t="inlineStr">
        <is>
          <t>Media_B1</t>
        </is>
      </c>
      <c r="I1" t="inlineStr">
        <is>
          <t>N1_B2</t>
        </is>
      </c>
      <c r="J1" t="inlineStr">
        <is>
          <t>N2_B2</t>
        </is>
      </c>
      <c r="K1" t="inlineStr">
        <is>
          <t>N3_B2</t>
        </is>
      </c>
      <c r="L1" t="inlineStr">
        <is>
          <t>N4_B2</t>
        </is>
      </c>
      <c r="M1" t="inlineStr">
        <is>
          <t>Atv1_B2</t>
        </is>
      </c>
      <c r="N1" t="inlineStr">
        <is>
          <t>Atv2_B2</t>
        </is>
      </c>
      <c r="O1" t="inlineStr">
        <is>
          <t>Media_B2</t>
        </is>
      </c>
      <c r="P1" t="inlineStr">
        <is>
          <t>N1_B3</t>
        </is>
      </c>
      <c r="Q1" t="inlineStr">
        <is>
          <t>N2_B3</t>
        </is>
      </c>
      <c r="R1" t="inlineStr">
        <is>
          <t>N3_B3</t>
        </is>
      </c>
      <c r="S1" t="inlineStr">
        <is>
          <t>N4_B3</t>
        </is>
      </c>
      <c r="T1" t="inlineStr">
        <is>
          <t>Atv1_B3</t>
        </is>
      </c>
      <c r="U1" t="inlineStr">
        <is>
          <t>Atv2_B3</t>
        </is>
      </c>
      <c r="V1" t="inlineStr">
        <is>
          <t>Media_B3</t>
        </is>
      </c>
      <c r="W1" t="inlineStr">
        <is>
          <t>N1_B4</t>
        </is>
      </c>
      <c r="X1" t="inlineStr">
        <is>
          <t>N2_B4</t>
        </is>
      </c>
      <c r="Y1" t="inlineStr">
        <is>
          <t>N3_B4</t>
        </is>
      </c>
      <c r="Z1" t="inlineStr">
        <is>
          <t>N4_B4</t>
        </is>
      </c>
      <c r="AA1" t="inlineStr">
        <is>
          <t>Atv1_B4</t>
        </is>
      </c>
      <c r="AB1" t="inlineStr">
        <is>
          <t>Atv2_B4</t>
        </is>
      </c>
      <c r="AC1" t="inlineStr">
        <is>
          <t>Media_B4</t>
        </is>
      </c>
      <c r="AD1" t="inlineStr">
        <is>
          <t>Media_Anual</t>
        </is>
      </c>
      <c r="AE1" t="inlineStr">
        <is>
          <t>Status</t>
        </is>
      </c>
    </row>
    <row r="2">
      <c r="A2" t="inlineStr">
        <is>
          <t>AMANDA RODRIGUES LEOPOLDINO (T-01/04/2026)</t>
        </is>
      </c>
      <c r="H2">
        <f>IFERROR(MIN(MROUND((((LARGE(B2:D2,1)+LARGE(B2:D2,2)+E2)/3)+F2+G2), 0.5), 10), 0)</f>
        <v/>
      </c>
      <c r="O2">
        <f>IFERROR(MIN(MROUND((((LARGE(I2:K2,1)+LARGE(I2:K2,2)+L2)/3)+M2+N2), 0.5), 10), 0)</f>
        <v/>
      </c>
      <c r="V2">
        <f>IFERROR(MIN(MROUND((((LARGE(P2:R2,1)+LARGE(P2:R2,2)+S2)/3)+T2+U2), 0.5), 10), 0)</f>
        <v/>
      </c>
      <c r="AC2">
        <f>IFERROR(MIN(MROUND((((LARGE(W2:Y2,1)+LARGE(W2:Y2,2)+Z2)/3)+AA2+AB2), 0.5), 10), 0)</f>
        <v/>
      </c>
      <c r="AD2">
        <f>MROUND(IF(O2=0,H2,IF(V2=0,AVERAGE(H2,O2),IF(AC2=0,AVERAGE(H2,O2,V2),AVERAGE(H2,O2,V2,AC2)))), 0.5)</f>
        <v/>
      </c>
      <c r="AE2">
        <f>IF(AD2&gt;=6,"Aprovado","Exame")</f>
        <v/>
      </c>
    </row>
    <row r="3">
      <c r="A3" t="inlineStr">
        <is>
          <t>ANA CLARA LEONEL MOREIRA DE OLIVEIRA</t>
        </is>
      </c>
      <c r="H3">
        <f>IFERROR(MIN(MROUND((((LARGE(B3:D3,1)+LARGE(B3:D3,2)+E3)/3)+F3+G3), 0.5), 10), 0)</f>
        <v/>
      </c>
      <c r="O3">
        <f>IFERROR(MIN(MROUND((((LARGE(I3:K3,1)+LARGE(I3:K3,2)+L3)/3)+M3+N3), 0.5), 10), 0)</f>
        <v/>
      </c>
      <c r="V3">
        <f>IFERROR(MIN(MROUND((((LARGE(P3:R3,1)+LARGE(P3:R3,2)+S3)/3)+T3+U3), 0.5), 10), 0)</f>
        <v/>
      </c>
      <c r="AC3">
        <f>IFERROR(MIN(MROUND((((LARGE(W3:Y3,1)+LARGE(W3:Y3,2)+Z3)/3)+AA3+AB3), 0.5), 10), 0)</f>
        <v/>
      </c>
      <c r="AD3">
        <f>MROUND(IF(O3=0,H3,IF(V3=0,AVERAGE(H3,O3),IF(AC3=0,AVERAGE(H3,O3,V3),AVERAGE(H3,O3,V3,AC3)))), 0.5)</f>
        <v/>
      </c>
      <c r="AE3">
        <f>IF(AD3&gt;=6,"Aprovado","Exame")</f>
        <v/>
      </c>
    </row>
    <row r="4">
      <c r="A4" t="inlineStr">
        <is>
          <t>ANA JULIA ROMBI VIANA</t>
        </is>
      </c>
      <c r="H4">
        <f>IFERROR(MIN(MROUND((((LARGE(B4:D4,1)+LARGE(B4:D4,2)+E4)/3)+F4+G4), 0.5), 10), 0)</f>
        <v/>
      </c>
      <c r="O4">
        <f>IFERROR(MIN(MROUND((((LARGE(I4:K4,1)+LARGE(I4:K4,2)+L4)/3)+M4+N4), 0.5), 10), 0)</f>
        <v/>
      </c>
      <c r="V4">
        <f>IFERROR(MIN(MROUND((((LARGE(P4:R4,1)+LARGE(P4:R4,2)+S4)/3)+T4+U4), 0.5), 10), 0)</f>
        <v/>
      </c>
      <c r="AC4">
        <f>IFERROR(MIN(MROUND((((LARGE(W4:Y4,1)+LARGE(W4:Y4,2)+Z4)/3)+AA4+AB4), 0.5), 10), 0)</f>
        <v/>
      </c>
      <c r="AD4">
        <f>MROUND(IF(O4=0,H4,IF(V4=0,AVERAGE(H4,O4),IF(AC4=0,AVERAGE(H4,O4,V4),AVERAGE(H4,O4,V4,AC4)))), 0.5)</f>
        <v/>
      </c>
      <c r="AE4">
        <f>IF(AD4&gt;=6,"Aprovado","Exame")</f>
        <v/>
      </c>
    </row>
    <row r="5">
      <c r="A5" t="inlineStr">
        <is>
          <t>DAVI PORTUGAL CARAMELO</t>
        </is>
      </c>
      <c r="H5">
        <f>IFERROR(MIN(MROUND((((LARGE(B5:D5,1)+LARGE(B5:D5,2)+E5)/3)+F5+G5), 0.5), 10), 0)</f>
        <v/>
      </c>
      <c r="O5">
        <f>IFERROR(MIN(MROUND((((LARGE(I5:K5,1)+LARGE(I5:K5,2)+L5)/3)+M5+N5), 0.5), 10), 0)</f>
        <v/>
      </c>
      <c r="V5">
        <f>IFERROR(MIN(MROUND((((LARGE(P5:R5,1)+LARGE(P5:R5,2)+S5)/3)+T5+U5), 0.5), 10), 0)</f>
        <v/>
      </c>
      <c r="AC5">
        <f>IFERROR(MIN(MROUND((((LARGE(W5:Y5,1)+LARGE(W5:Y5,2)+Z5)/3)+AA5+AB5), 0.5), 10), 0)</f>
        <v/>
      </c>
      <c r="AD5">
        <f>MROUND(IF(O5=0,H5,IF(V5=0,AVERAGE(H5,O5),IF(AC5=0,AVERAGE(H5,O5,V5),AVERAGE(H5,O5,V5,AC5)))), 0.5)</f>
        <v/>
      </c>
      <c r="AE5">
        <f>IF(AD5&gt;=6,"Aprovado","Exame")</f>
        <v/>
      </c>
    </row>
    <row r="6">
      <c r="A6" t="inlineStr">
        <is>
          <t>DAVI SENA PORCINGULA RODRIGUES</t>
        </is>
      </c>
      <c r="H6">
        <f>IFERROR(MIN(MROUND((((LARGE(B6:D6,1)+LARGE(B6:D6,2)+E6)/3)+F6+G6), 0.5), 10), 0)</f>
        <v/>
      </c>
      <c r="O6">
        <f>IFERROR(MIN(MROUND((((LARGE(I6:K6,1)+LARGE(I6:K6,2)+L6)/3)+M6+N6), 0.5), 10), 0)</f>
        <v/>
      </c>
      <c r="V6">
        <f>IFERROR(MIN(MROUND((((LARGE(P6:R6,1)+LARGE(P6:R6,2)+S6)/3)+T6+U6), 0.5), 10), 0)</f>
        <v/>
      </c>
      <c r="AC6">
        <f>IFERROR(MIN(MROUND((((LARGE(W6:Y6,1)+LARGE(W6:Y6,2)+Z6)/3)+AA6+AB6), 0.5), 10), 0)</f>
        <v/>
      </c>
      <c r="AD6">
        <f>MROUND(IF(O6=0,H6,IF(V6=0,AVERAGE(H6,O6),IF(AC6=0,AVERAGE(H6,O6,V6),AVERAGE(H6,O6,V6,AC6)))), 0.5)</f>
        <v/>
      </c>
      <c r="AE6">
        <f>IF(AD6&gt;=6,"Aprovado","Exame")</f>
        <v/>
      </c>
    </row>
    <row r="7">
      <c r="A7" t="inlineStr">
        <is>
          <t>DÓROTHY BEATRIZ CORRÊA AMARAL</t>
        </is>
      </c>
      <c r="H7">
        <f>IFERROR(MIN(MROUND((((LARGE(B7:D7,1)+LARGE(B7:D7,2)+E7)/3)+F7+G7), 0.5), 10), 0)</f>
        <v/>
      </c>
      <c r="O7">
        <f>IFERROR(MIN(MROUND((((LARGE(I7:K7,1)+LARGE(I7:K7,2)+L7)/3)+M7+N7), 0.5), 10), 0)</f>
        <v/>
      </c>
      <c r="V7">
        <f>IFERROR(MIN(MROUND((((LARGE(P7:R7,1)+LARGE(P7:R7,2)+S7)/3)+T7+U7), 0.5), 10), 0)</f>
        <v/>
      </c>
      <c r="AC7">
        <f>IFERROR(MIN(MROUND((((LARGE(W7:Y7,1)+LARGE(W7:Y7,2)+Z7)/3)+AA7+AB7), 0.5), 10), 0)</f>
        <v/>
      </c>
      <c r="AD7">
        <f>MROUND(IF(O7=0,H7,IF(V7=0,AVERAGE(H7,O7),IF(AC7=0,AVERAGE(H7,O7,V7),AVERAGE(H7,O7,V7,AC7)))), 0.5)</f>
        <v/>
      </c>
      <c r="AE7">
        <f>IF(AD7&gt;=6,"Aprovado","Exame")</f>
        <v/>
      </c>
    </row>
    <row r="8">
      <c r="A8" t="inlineStr">
        <is>
          <t>EDUARDO CARDOSO SILVA</t>
        </is>
      </c>
      <c r="H8">
        <f>IFERROR(MIN(MROUND((((LARGE(B8:D8,1)+LARGE(B8:D8,2)+E8)/3)+F8+G8), 0.5), 10), 0)</f>
        <v/>
      </c>
      <c r="O8">
        <f>IFERROR(MIN(MROUND((((LARGE(I8:K8,1)+LARGE(I8:K8,2)+L8)/3)+M8+N8), 0.5), 10), 0)</f>
        <v/>
      </c>
      <c r="V8">
        <f>IFERROR(MIN(MROUND((((LARGE(P8:R8,1)+LARGE(P8:R8,2)+S8)/3)+T8+U8), 0.5), 10), 0)</f>
        <v/>
      </c>
      <c r="AC8">
        <f>IFERROR(MIN(MROUND((((LARGE(W8:Y8,1)+LARGE(W8:Y8,2)+Z8)/3)+AA8+AB8), 0.5), 10), 0)</f>
        <v/>
      </c>
      <c r="AD8">
        <f>MROUND(IF(O8=0,H8,IF(V8=0,AVERAGE(H8,O8),IF(AC8=0,AVERAGE(H8,O8,V8),AVERAGE(H8,O8,V8,AC8)))), 0.5)</f>
        <v/>
      </c>
      <c r="AE8">
        <f>IF(AD8&gt;=6,"Aprovado","Exame")</f>
        <v/>
      </c>
    </row>
    <row r="9">
      <c r="A9" t="inlineStr">
        <is>
          <t>ENZO CAMPOS TOGNINI</t>
        </is>
      </c>
      <c r="H9">
        <f>IFERROR(MIN(MROUND((((LARGE(B9:D9,1)+LARGE(B9:D9,2)+E9)/3)+F9+G9), 0.5), 10), 0)</f>
        <v/>
      </c>
      <c r="O9">
        <f>IFERROR(MIN(MROUND((((LARGE(I9:K9,1)+LARGE(I9:K9,2)+L9)/3)+M9+N9), 0.5), 10), 0)</f>
        <v/>
      </c>
      <c r="V9">
        <f>IFERROR(MIN(MROUND((((LARGE(P9:R9,1)+LARGE(P9:R9,2)+S9)/3)+T9+U9), 0.5), 10), 0)</f>
        <v/>
      </c>
      <c r="AC9">
        <f>IFERROR(MIN(MROUND((((LARGE(W9:Y9,1)+LARGE(W9:Y9,2)+Z9)/3)+AA9+AB9), 0.5), 10), 0)</f>
        <v/>
      </c>
      <c r="AD9">
        <f>MROUND(IF(O9=0,H9,IF(V9=0,AVERAGE(H9,O9),IF(AC9=0,AVERAGE(H9,O9,V9),AVERAGE(H9,O9,V9,AC9)))), 0.5)</f>
        <v/>
      </c>
      <c r="AE9">
        <f>IF(AD9&gt;=6,"Aprovado","Exame")</f>
        <v/>
      </c>
    </row>
    <row r="10">
      <c r="A10" t="inlineStr">
        <is>
          <t>FÁBIO HENRIQUE SANTOS DE OLIVEIRA SANT'ANA</t>
        </is>
      </c>
      <c r="H10">
        <f>IFERROR(MIN(MROUND((((LARGE(B10:D10,1)+LARGE(B10:D10,2)+E10)/3)+F10+G10), 0.5), 10), 0)</f>
        <v/>
      </c>
      <c r="O10">
        <f>IFERROR(MIN(MROUND((((LARGE(I10:K10,1)+LARGE(I10:K10,2)+L10)/3)+M10+N10), 0.5), 10), 0)</f>
        <v/>
      </c>
      <c r="V10">
        <f>IFERROR(MIN(MROUND((((LARGE(P10:R10,1)+LARGE(P10:R10,2)+S10)/3)+T10+U10), 0.5), 10), 0)</f>
        <v/>
      </c>
      <c r="AC10">
        <f>IFERROR(MIN(MROUND((((LARGE(W10:Y10,1)+LARGE(W10:Y10,2)+Z10)/3)+AA10+AB10), 0.5), 10), 0)</f>
        <v/>
      </c>
      <c r="AD10">
        <f>MROUND(IF(O10=0,H10,IF(V10=0,AVERAGE(H10,O10),IF(AC10=0,AVERAGE(H10,O10,V10),AVERAGE(H10,O10,V10,AC10)))), 0.5)</f>
        <v/>
      </c>
      <c r="AE10">
        <f>IF(AD10&gt;=6,"Aprovado","Exame")</f>
        <v/>
      </c>
    </row>
    <row r="11">
      <c r="A11" t="inlineStr">
        <is>
          <t>FELLIPE FAGUNDES DA SILVA</t>
        </is>
      </c>
      <c r="H11">
        <f>IFERROR(MIN(MROUND((((LARGE(B11:D11,1)+LARGE(B11:D11,2)+E11)/3)+F11+G11), 0.5), 10), 0)</f>
        <v/>
      </c>
      <c r="O11">
        <f>IFERROR(MIN(MROUND((((LARGE(I11:K11,1)+LARGE(I11:K11,2)+L11)/3)+M11+N11), 0.5), 10), 0)</f>
        <v/>
      </c>
      <c r="V11">
        <f>IFERROR(MIN(MROUND((((LARGE(P11:R11,1)+LARGE(P11:R11,2)+S11)/3)+T11+U11), 0.5), 10), 0)</f>
        <v/>
      </c>
      <c r="AC11">
        <f>IFERROR(MIN(MROUND((((LARGE(W11:Y11,1)+LARGE(W11:Y11,2)+Z11)/3)+AA11+AB11), 0.5), 10), 0)</f>
        <v/>
      </c>
      <c r="AD11">
        <f>MROUND(IF(O11=0,H11,IF(V11=0,AVERAGE(H11,O11),IF(AC11=0,AVERAGE(H11,O11,V11),AVERAGE(H11,O11,V11,AC11)))), 0.5)</f>
        <v/>
      </c>
      <c r="AE11">
        <f>IF(AD11&gt;=6,"Aprovado","Exame")</f>
        <v/>
      </c>
    </row>
    <row r="12">
      <c r="A12" t="inlineStr">
        <is>
          <t>GEOVANA PADILHA SANTOS</t>
        </is>
      </c>
      <c r="H12">
        <f>IFERROR(MIN(MROUND((((LARGE(B12:D12,1)+LARGE(B12:D12,2)+E12)/3)+F12+G12), 0.5), 10), 0)</f>
        <v/>
      </c>
      <c r="O12">
        <f>IFERROR(MIN(MROUND((((LARGE(I12:K12,1)+LARGE(I12:K12,2)+L12)/3)+M12+N12), 0.5), 10), 0)</f>
        <v/>
      </c>
      <c r="V12">
        <f>IFERROR(MIN(MROUND((((LARGE(P12:R12,1)+LARGE(P12:R12,2)+S12)/3)+T12+U12), 0.5), 10), 0)</f>
        <v/>
      </c>
      <c r="AC12">
        <f>IFERROR(MIN(MROUND((((LARGE(W12:Y12,1)+LARGE(W12:Y12,2)+Z12)/3)+AA12+AB12), 0.5), 10), 0)</f>
        <v/>
      </c>
      <c r="AD12">
        <f>MROUND(IF(O12=0,H12,IF(V12=0,AVERAGE(H12,O12),IF(AC12=0,AVERAGE(H12,O12,V12),AVERAGE(H12,O12,V12,AC12)))), 0.5)</f>
        <v/>
      </c>
      <c r="AE12">
        <f>IF(AD12&gt;=6,"Aprovado","Exame")</f>
        <v/>
      </c>
    </row>
    <row r="13">
      <c r="A13" t="inlineStr">
        <is>
          <t>HEITOR POMATTI FARIA</t>
        </is>
      </c>
      <c r="H13">
        <f>IFERROR(MIN(MROUND((((LARGE(B13:D13,1)+LARGE(B13:D13,2)+E13)/3)+F13+G13), 0.5), 10), 0)</f>
        <v/>
      </c>
      <c r="O13">
        <f>IFERROR(MIN(MROUND((((LARGE(I13:K13,1)+LARGE(I13:K13,2)+L13)/3)+M13+N13), 0.5), 10), 0)</f>
        <v/>
      </c>
      <c r="V13">
        <f>IFERROR(MIN(MROUND((((LARGE(P13:R13,1)+LARGE(P13:R13,2)+S13)/3)+T13+U13), 0.5), 10), 0)</f>
        <v/>
      </c>
      <c r="AC13">
        <f>IFERROR(MIN(MROUND((((LARGE(W13:Y13,1)+LARGE(W13:Y13,2)+Z13)/3)+AA13+AB13), 0.5), 10), 0)</f>
        <v/>
      </c>
      <c r="AD13">
        <f>MROUND(IF(O13=0,H13,IF(V13=0,AVERAGE(H13,O13),IF(AC13=0,AVERAGE(H13,O13,V13),AVERAGE(H13,O13,V13,AC13)))), 0.5)</f>
        <v/>
      </c>
      <c r="AE13">
        <f>IF(AD13&gt;=6,"Aprovado","Exame")</f>
        <v/>
      </c>
    </row>
    <row r="14">
      <c r="A14" t="inlineStr">
        <is>
          <t>HELLENA CÉSPEDES LOUREIRO</t>
        </is>
      </c>
      <c r="H14">
        <f>IFERROR(MIN(MROUND((((LARGE(B14:D14,1)+LARGE(B14:D14,2)+E14)/3)+F14+G14), 0.5), 10), 0)</f>
        <v/>
      </c>
      <c r="O14">
        <f>IFERROR(MIN(MROUND((((LARGE(I14:K14,1)+LARGE(I14:K14,2)+L14)/3)+M14+N14), 0.5), 10), 0)</f>
        <v/>
      </c>
      <c r="V14">
        <f>IFERROR(MIN(MROUND((((LARGE(P14:R14,1)+LARGE(P14:R14,2)+S14)/3)+T14+U14), 0.5), 10), 0)</f>
        <v/>
      </c>
      <c r="AC14">
        <f>IFERROR(MIN(MROUND((((LARGE(W14:Y14,1)+LARGE(W14:Y14,2)+Z14)/3)+AA14+AB14), 0.5), 10), 0)</f>
        <v/>
      </c>
      <c r="AD14">
        <f>MROUND(IF(O14=0,H14,IF(V14=0,AVERAGE(H14,O14),IF(AC14=0,AVERAGE(H14,O14,V14),AVERAGE(H14,O14,V14,AC14)))), 0.5)</f>
        <v/>
      </c>
      <c r="AE14">
        <f>IF(AD14&gt;=6,"Aprovado","Exame")</f>
        <v/>
      </c>
    </row>
    <row r="15">
      <c r="A15" t="inlineStr">
        <is>
          <t>ISABELE MENDES GUTIERRES</t>
        </is>
      </c>
      <c r="H15">
        <f>IFERROR(MIN(MROUND((((LARGE(B15:D15,1)+LARGE(B15:D15,2)+E15)/3)+F15+G15), 0.5), 10), 0)</f>
        <v/>
      </c>
      <c r="O15">
        <f>IFERROR(MIN(MROUND((((LARGE(I15:K15,1)+LARGE(I15:K15,2)+L15)/3)+M15+N15), 0.5), 10), 0)</f>
        <v/>
      </c>
      <c r="V15">
        <f>IFERROR(MIN(MROUND((((LARGE(P15:R15,1)+LARGE(P15:R15,2)+S15)/3)+T15+U15), 0.5), 10), 0)</f>
        <v/>
      </c>
      <c r="AC15">
        <f>IFERROR(MIN(MROUND((((LARGE(W15:Y15,1)+LARGE(W15:Y15,2)+Z15)/3)+AA15+AB15), 0.5), 10), 0)</f>
        <v/>
      </c>
      <c r="AD15">
        <f>MROUND(IF(O15=0,H15,IF(V15=0,AVERAGE(H15,O15),IF(AC15=0,AVERAGE(H15,O15,V15),AVERAGE(H15,O15,V15,AC15)))), 0.5)</f>
        <v/>
      </c>
      <c r="AE15">
        <f>IF(AD15&gt;=6,"Aprovado","Exame")</f>
        <v/>
      </c>
    </row>
    <row r="16">
      <c r="A16" t="inlineStr">
        <is>
          <t>ISABELLY SILVA MOREIRA</t>
        </is>
      </c>
      <c r="H16">
        <f>IFERROR(MIN(MROUND((((LARGE(B16:D16,1)+LARGE(B16:D16,2)+E16)/3)+F16+G16), 0.5), 10), 0)</f>
        <v/>
      </c>
      <c r="O16">
        <f>IFERROR(MIN(MROUND((((LARGE(I16:K16,1)+LARGE(I16:K16,2)+L16)/3)+M16+N16), 0.5), 10), 0)</f>
        <v/>
      </c>
      <c r="V16">
        <f>IFERROR(MIN(MROUND((((LARGE(P16:R16,1)+LARGE(P16:R16,2)+S16)/3)+T16+U16), 0.5), 10), 0)</f>
        <v/>
      </c>
      <c r="AC16">
        <f>IFERROR(MIN(MROUND((((LARGE(W16:Y16,1)+LARGE(W16:Y16,2)+Z16)/3)+AA16+AB16), 0.5), 10), 0)</f>
        <v/>
      </c>
      <c r="AD16">
        <f>MROUND(IF(O16=0,H16,IF(V16=0,AVERAGE(H16,O16),IF(AC16=0,AVERAGE(H16,O16,V16),AVERAGE(H16,O16,V16,AC16)))), 0.5)</f>
        <v/>
      </c>
      <c r="AE16">
        <f>IF(AD16&gt;=6,"Aprovado","Exame")</f>
        <v/>
      </c>
    </row>
    <row r="17">
      <c r="A17" t="inlineStr">
        <is>
          <t>JOÃO FELIPE CARVALHO ARAUJO</t>
        </is>
      </c>
      <c r="H17">
        <f>IFERROR(MIN(MROUND((((LARGE(B17:D17,1)+LARGE(B17:D17,2)+E17)/3)+F17+G17), 0.5), 10), 0)</f>
        <v/>
      </c>
      <c r="O17">
        <f>IFERROR(MIN(MROUND((((LARGE(I17:K17,1)+LARGE(I17:K17,2)+L17)/3)+M17+N17), 0.5), 10), 0)</f>
        <v/>
      </c>
      <c r="V17">
        <f>IFERROR(MIN(MROUND((((LARGE(P17:R17,1)+LARGE(P17:R17,2)+S17)/3)+T17+U17), 0.5), 10), 0)</f>
        <v/>
      </c>
      <c r="AC17">
        <f>IFERROR(MIN(MROUND((((LARGE(W17:Y17,1)+LARGE(W17:Y17,2)+Z17)/3)+AA17+AB17), 0.5), 10), 0)</f>
        <v/>
      </c>
      <c r="AD17">
        <f>MROUND(IF(O17=0,H17,IF(V17=0,AVERAGE(H17,O17),IF(AC17=0,AVERAGE(H17,O17,V17),AVERAGE(H17,O17,V17,AC17)))), 0.5)</f>
        <v/>
      </c>
      <c r="AE17">
        <f>IF(AD17&gt;=6,"Aprovado","Exame")</f>
        <v/>
      </c>
    </row>
    <row r="18">
      <c r="A18" t="inlineStr">
        <is>
          <t>JOÃO RAFAEL FRANÇA DA LUZ</t>
        </is>
      </c>
      <c r="H18">
        <f>IFERROR(MIN(MROUND((((LARGE(B18:D18,1)+LARGE(B18:D18,2)+E18)/3)+F18+G18), 0.5), 10), 0)</f>
        <v/>
      </c>
      <c r="O18">
        <f>IFERROR(MIN(MROUND((((LARGE(I18:K18,1)+LARGE(I18:K18,2)+L18)/3)+M18+N18), 0.5), 10), 0)</f>
        <v/>
      </c>
      <c r="V18">
        <f>IFERROR(MIN(MROUND((((LARGE(P18:R18,1)+LARGE(P18:R18,2)+S18)/3)+T18+U18), 0.5), 10), 0)</f>
        <v/>
      </c>
      <c r="AC18">
        <f>IFERROR(MIN(MROUND((((LARGE(W18:Y18,1)+LARGE(W18:Y18,2)+Z18)/3)+AA18+AB18), 0.5), 10), 0)</f>
        <v/>
      </c>
      <c r="AD18">
        <f>MROUND(IF(O18=0,H18,IF(V18=0,AVERAGE(H18,O18),IF(AC18=0,AVERAGE(H18,O18,V18),AVERAGE(H18,O18,V18,AC18)))), 0.5)</f>
        <v/>
      </c>
      <c r="AE18">
        <f>IF(AD18&gt;=6,"Aprovado","Exame")</f>
        <v/>
      </c>
    </row>
    <row r="19">
      <c r="A19" t="inlineStr">
        <is>
          <t>JULIA KOLTERMANN MIRANDA</t>
        </is>
      </c>
      <c r="H19">
        <f>IFERROR(MIN(MROUND((((LARGE(B19:D19,1)+LARGE(B19:D19,2)+E19)/3)+F19+G19), 0.5), 10), 0)</f>
        <v/>
      </c>
      <c r="O19">
        <f>IFERROR(MIN(MROUND((((LARGE(I19:K19,1)+LARGE(I19:K19,2)+L19)/3)+M19+N19), 0.5), 10), 0)</f>
        <v/>
      </c>
      <c r="V19">
        <f>IFERROR(MIN(MROUND((((LARGE(P19:R19,1)+LARGE(P19:R19,2)+S19)/3)+T19+U19), 0.5), 10), 0)</f>
        <v/>
      </c>
      <c r="AC19">
        <f>IFERROR(MIN(MROUND((((LARGE(W19:Y19,1)+LARGE(W19:Y19,2)+Z19)/3)+AA19+AB19), 0.5), 10), 0)</f>
        <v/>
      </c>
      <c r="AD19">
        <f>MROUND(IF(O19=0,H19,IF(V19=0,AVERAGE(H19,O19),IF(AC19=0,AVERAGE(H19,O19,V19),AVERAGE(H19,O19,V19,AC19)))), 0.5)</f>
        <v/>
      </c>
      <c r="AE19">
        <f>IF(AD19&gt;=6,"Aprovado","Exame")</f>
        <v/>
      </c>
    </row>
    <row r="20">
      <c r="A20" t="inlineStr">
        <is>
          <t>JULIAN GARIBALDI DE BRITO</t>
        </is>
      </c>
      <c r="H20">
        <f>IFERROR(MIN(MROUND((((LARGE(B20:D20,1)+LARGE(B20:D20,2)+E20)/3)+F20+G20), 0.5), 10), 0)</f>
        <v/>
      </c>
      <c r="O20">
        <f>IFERROR(MIN(MROUND((((LARGE(I20:K20,1)+LARGE(I20:K20,2)+L20)/3)+M20+N20), 0.5), 10), 0)</f>
        <v/>
      </c>
      <c r="V20">
        <f>IFERROR(MIN(MROUND((((LARGE(P20:R20,1)+LARGE(P20:R20,2)+S20)/3)+T20+U20), 0.5), 10), 0)</f>
        <v/>
      </c>
      <c r="AC20">
        <f>IFERROR(MIN(MROUND((((LARGE(W20:Y20,1)+LARGE(W20:Y20,2)+Z20)/3)+AA20+AB20), 0.5), 10), 0)</f>
        <v/>
      </c>
      <c r="AD20">
        <f>MROUND(IF(O20=0,H20,IF(V20=0,AVERAGE(H20,O20),IF(AC20=0,AVERAGE(H20,O20,V20),AVERAGE(H20,O20,V20,AC20)))), 0.5)</f>
        <v/>
      </c>
      <c r="AE20">
        <f>IF(AD20&gt;=6,"Aprovado","Exame")</f>
        <v/>
      </c>
    </row>
    <row r="21">
      <c r="A21" t="inlineStr">
        <is>
          <t>KETLEN GABRIELA COELHO MACHADO</t>
        </is>
      </c>
      <c r="H21">
        <f>IFERROR(MIN(MROUND((((LARGE(B21:D21,1)+LARGE(B21:D21,2)+E21)/3)+F21+G21), 0.5), 10), 0)</f>
        <v/>
      </c>
      <c r="O21">
        <f>IFERROR(MIN(MROUND((((LARGE(I21:K21,1)+LARGE(I21:K21,2)+L21)/3)+M21+N21), 0.5), 10), 0)</f>
        <v/>
      </c>
      <c r="V21">
        <f>IFERROR(MIN(MROUND((((LARGE(P21:R21,1)+LARGE(P21:R21,2)+S21)/3)+T21+U21), 0.5), 10), 0)</f>
        <v/>
      </c>
      <c r="AC21">
        <f>IFERROR(MIN(MROUND((((LARGE(W21:Y21,1)+LARGE(W21:Y21,2)+Z21)/3)+AA21+AB21), 0.5), 10), 0)</f>
        <v/>
      </c>
      <c r="AD21">
        <f>MROUND(IF(O21=0,H21,IF(V21=0,AVERAGE(H21,O21),IF(AC21=0,AVERAGE(H21,O21,V21),AVERAGE(H21,O21,V21,AC21)))), 0.5)</f>
        <v/>
      </c>
      <c r="AE21">
        <f>IF(AD21&gt;=6,"Aprovado","Exame")</f>
        <v/>
      </c>
    </row>
    <row r="22">
      <c r="A22" t="inlineStr">
        <is>
          <t>LARA SCATOLIN ROSSATTI</t>
        </is>
      </c>
      <c r="H22">
        <f>IFERROR(MIN(MROUND((((LARGE(B22:D22,1)+LARGE(B22:D22,2)+E22)/3)+F22+G22), 0.5), 10), 0)</f>
        <v/>
      </c>
      <c r="O22">
        <f>IFERROR(MIN(MROUND((((LARGE(I22:K22,1)+LARGE(I22:K22,2)+L22)/3)+M22+N22), 0.5), 10), 0)</f>
        <v/>
      </c>
      <c r="V22">
        <f>IFERROR(MIN(MROUND((((LARGE(P22:R22,1)+LARGE(P22:R22,2)+S22)/3)+T22+U22), 0.5), 10), 0)</f>
        <v/>
      </c>
      <c r="AC22">
        <f>IFERROR(MIN(MROUND((((LARGE(W22:Y22,1)+LARGE(W22:Y22,2)+Z22)/3)+AA22+AB22), 0.5), 10), 0)</f>
        <v/>
      </c>
      <c r="AD22">
        <f>MROUND(IF(O22=0,H22,IF(V22=0,AVERAGE(H22,O22),IF(AC22=0,AVERAGE(H22,O22,V22),AVERAGE(H22,O22,V22,AC22)))), 0.5)</f>
        <v/>
      </c>
      <c r="AE22">
        <f>IF(AD22&gt;=6,"Aprovado","Exame")</f>
        <v/>
      </c>
    </row>
    <row r="23">
      <c r="A23" t="inlineStr">
        <is>
          <t>LÍVIA DOS SANTOS MARTINS</t>
        </is>
      </c>
      <c r="H23">
        <f>IFERROR(MIN(MROUND((((LARGE(B23:D23,1)+LARGE(B23:D23,2)+E23)/3)+F23+G23), 0.5), 10), 0)</f>
        <v/>
      </c>
      <c r="O23">
        <f>IFERROR(MIN(MROUND((((LARGE(I23:K23,1)+LARGE(I23:K23,2)+L23)/3)+M23+N23), 0.5), 10), 0)</f>
        <v/>
      </c>
      <c r="V23">
        <f>IFERROR(MIN(MROUND((((LARGE(P23:R23,1)+LARGE(P23:R23,2)+S23)/3)+T23+U23), 0.5), 10), 0)</f>
        <v/>
      </c>
      <c r="AC23">
        <f>IFERROR(MIN(MROUND((((LARGE(W23:Y23,1)+LARGE(W23:Y23,2)+Z23)/3)+AA23+AB23), 0.5), 10), 0)</f>
        <v/>
      </c>
      <c r="AD23">
        <f>MROUND(IF(O23=0,H23,IF(V23=0,AVERAGE(H23,O23),IF(AC23=0,AVERAGE(H23,O23,V23),AVERAGE(H23,O23,V23,AC23)))), 0.5)</f>
        <v/>
      </c>
      <c r="AE23">
        <f>IF(AD23&gt;=6,"Aprovado","Exame")</f>
        <v/>
      </c>
    </row>
    <row r="24">
      <c r="A24" t="inlineStr">
        <is>
          <t>LUCAS VINICIUS NOGUEIRA DE PAIVA</t>
        </is>
      </c>
      <c r="H24">
        <f>IFERROR(MIN(MROUND((((LARGE(B24:D24,1)+LARGE(B24:D24,2)+E24)/3)+F24+G24), 0.5), 10), 0)</f>
        <v/>
      </c>
      <c r="O24">
        <f>IFERROR(MIN(MROUND((((LARGE(I24:K24,1)+LARGE(I24:K24,2)+L24)/3)+M24+N24), 0.5), 10), 0)</f>
        <v/>
      </c>
      <c r="V24">
        <f>IFERROR(MIN(MROUND((((LARGE(P24:R24,1)+LARGE(P24:R24,2)+S24)/3)+T24+U24), 0.5), 10), 0)</f>
        <v/>
      </c>
      <c r="AC24">
        <f>IFERROR(MIN(MROUND((((LARGE(W24:Y24,1)+LARGE(W24:Y24,2)+Z24)/3)+AA24+AB24), 0.5), 10), 0)</f>
        <v/>
      </c>
      <c r="AD24">
        <f>MROUND(IF(O24=0,H24,IF(V24=0,AVERAGE(H24,O24),IF(AC24=0,AVERAGE(H24,O24,V24),AVERAGE(H24,O24,V24,AC24)))), 0.5)</f>
        <v/>
      </c>
      <c r="AE24">
        <f>IF(AD24&gt;=6,"Aprovado","Exame")</f>
        <v/>
      </c>
    </row>
    <row r="25">
      <c r="A25" t="inlineStr">
        <is>
          <t>LUÍS FELIPE MAZZEO</t>
        </is>
      </c>
      <c r="H25">
        <f>IFERROR(MIN(MROUND((((LARGE(B25:D25,1)+LARGE(B25:D25,2)+E25)/3)+F25+G25), 0.5), 10), 0)</f>
        <v/>
      </c>
      <c r="O25">
        <f>IFERROR(MIN(MROUND((((LARGE(I25:K25,1)+LARGE(I25:K25,2)+L25)/3)+M25+N25), 0.5), 10), 0)</f>
        <v/>
      </c>
      <c r="V25">
        <f>IFERROR(MIN(MROUND((((LARGE(P25:R25,1)+LARGE(P25:R25,2)+S25)/3)+T25+U25), 0.5), 10), 0)</f>
        <v/>
      </c>
      <c r="AC25">
        <f>IFERROR(MIN(MROUND((((LARGE(W25:Y25,1)+LARGE(W25:Y25,2)+Z25)/3)+AA25+AB25), 0.5), 10), 0)</f>
        <v/>
      </c>
      <c r="AD25">
        <f>MROUND(IF(O25=0,H25,IF(V25=0,AVERAGE(H25,O25),IF(AC25=0,AVERAGE(H25,O25,V25),AVERAGE(H25,O25,V25,AC25)))), 0.5)</f>
        <v/>
      </c>
      <c r="AE25">
        <f>IF(AD25&gt;=6,"Aprovado","Exame")</f>
        <v/>
      </c>
    </row>
    <row r="26">
      <c r="A26" t="inlineStr">
        <is>
          <t>LUIZ ROBERTO FRANCO DUARTE</t>
        </is>
      </c>
      <c r="H26">
        <f>IFERROR(MIN(MROUND((((LARGE(B26:D26,1)+LARGE(B26:D26,2)+E26)/3)+F26+G26), 0.5), 10), 0)</f>
        <v/>
      </c>
      <c r="O26">
        <f>IFERROR(MIN(MROUND((((LARGE(I26:K26,1)+LARGE(I26:K26,2)+L26)/3)+M26+N26), 0.5), 10), 0)</f>
        <v/>
      </c>
      <c r="V26">
        <f>IFERROR(MIN(MROUND((((LARGE(P26:R26,1)+LARGE(P26:R26,2)+S26)/3)+T26+U26), 0.5), 10), 0)</f>
        <v/>
      </c>
      <c r="AC26">
        <f>IFERROR(MIN(MROUND((((LARGE(W26:Y26,1)+LARGE(W26:Y26,2)+Z26)/3)+AA26+AB26), 0.5), 10), 0)</f>
        <v/>
      </c>
      <c r="AD26">
        <f>MROUND(IF(O26=0,H26,IF(V26=0,AVERAGE(H26,O26),IF(AC26=0,AVERAGE(H26,O26,V26),AVERAGE(H26,O26,V26,AC26)))), 0.5)</f>
        <v/>
      </c>
      <c r="AE26">
        <f>IF(AD26&gt;=6,"Aprovado","Exame")</f>
        <v/>
      </c>
    </row>
    <row r="27">
      <c r="A27" t="inlineStr">
        <is>
          <t>MARIA CLARA GARCIA ALVES</t>
        </is>
      </c>
      <c r="H27">
        <f>IFERROR(MIN(MROUND((((LARGE(B27:D27,1)+LARGE(B27:D27,2)+E27)/3)+F27+G27), 0.5), 10), 0)</f>
        <v/>
      </c>
      <c r="O27">
        <f>IFERROR(MIN(MROUND((((LARGE(I27:K27,1)+LARGE(I27:K27,2)+L27)/3)+M27+N27), 0.5), 10), 0)</f>
        <v/>
      </c>
      <c r="V27">
        <f>IFERROR(MIN(MROUND((((LARGE(P27:R27,1)+LARGE(P27:R27,2)+S27)/3)+T27+U27), 0.5), 10), 0)</f>
        <v/>
      </c>
      <c r="AC27">
        <f>IFERROR(MIN(MROUND((((LARGE(W27:Y27,1)+LARGE(W27:Y27,2)+Z27)/3)+AA27+AB27), 0.5), 10), 0)</f>
        <v/>
      </c>
      <c r="AD27">
        <f>MROUND(IF(O27=0,H27,IF(V27=0,AVERAGE(H27,O27),IF(AC27=0,AVERAGE(H27,O27,V27),AVERAGE(H27,O27,V27,AC27)))), 0.5)</f>
        <v/>
      </c>
      <c r="AE27">
        <f>IF(AD27&gt;=6,"Aprovado","Exame")</f>
        <v/>
      </c>
    </row>
    <row r="28">
      <c r="A28" t="inlineStr">
        <is>
          <t>MARIANA ARANTES DINIZ</t>
        </is>
      </c>
      <c r="H28">
        <f>IFERROR(MIN(MROUND((((LARGE(B28:D28,1)+LARGE(B28:D28,2)+E28)/3)+F28+G28), 0.5), 10), 0)</f>
        <v/>
      </c>
      <c r="O28">
        <f>IFERROR(MIN(MROUND((((LARGE(I28:K28,1)+LARGE(I28:K28,2)+L28)/3)+M28+N28), 0.5), 10), 0)</f>
        <v/>
      </c>
      <c r="V28">
        <f>IFERROR(MIN(MROUND((((LARGE(P28:R28,1)+LARGE(P28:R28,2)+S28)/3)+T28+U28), 0.5), 10), 0)</f>
        <v/>
      </c>
      <c r="AC28">
        <f>IFERROR(MIN(MROUND((((LARGE(W28:Y28,1)+LARGE(W28:Y28,2)+Z28)/3)+AA28+AB28), 0.5), 10), 0)</f>
        <v/>
      </c>
      <c r="AD28">
        <f>MROUND(IF(O28=0,H28,IF(V28=0,AVERAGE(H28,O28),IF(AC28=0,AVERAGE(H28,O28,V28),AVERAGE(H28,O28,V28,AC28)))), 0.5)</f>
        <v/>
      </c>
      <c r="AE28">
        <f>IF(AD28&gt;=6,"Aprovado","Exame")</f>
        <v/>
      </c>
    </row>
    <row r="29">
      <c r="A29" t="inlineStr">
        <is>
          <t>PEDRO HENRIQUE RODRIGUES VILLARINO</t>
        </is>
      </c>
      <c r="H29">
        <f>IFERROR(MIN(MROUND((((LARGE(B29:D29,1)+LARGE(B29:D29,2)+E29)/3)+F29+G29), 0.5), 10), 0)</f>
        <v/>
      </c>
      <c r="O29">
        <f>IFERROR(MIN(MROUND((((LARGE(I29:K29,1)+LARGE(I29:K29,2)+L29)/3)+M29+N29), 0.5), 10), 0)</f>
        <v/>
      </c>
      <c r="V29">
        <f>IFERROR(MIN(MROUND((((LARGE(P29:R29,1)+LARGE(P29:R29,2)+S29)/3)+T29+U29), 0.5), 10), 0)</f>
        <v/>
      </c>
      <c r="AC29">
        <f>IFERROR(MIN(MROUND((((LARGE(W29:Y29,1)+LARGE(W29:Y29,2)+Z29)/3)+AA29+AB29), 0.5), 10), 0)</f>
        <v/>
      </c>
      <c r="AD29">
        <f>MROUND(IF(O29=0,H29,IF(V29=0,AVERAGE(H29,O29),IF(AC29=0,AVERAGE(H29,O29,V29),AVERAGE(H29,O29,V29,AC29)))), 0.5)</f>
        <v/>
      </c>
      <c r="AE29">
        <f>IF(AD29&gt;=6,"Aprovado","Exame")</f>
        <v/>
      </c>
    </row>
    <row r="30">
      <c r="A30" t="inlineStr">
        <is>
          <t>PEDRO OTÁVIO OLIVEIRA GARCIA</t>
        </is>
      </c>
      <c r="H30">
        <f>IFERROR(MIN(MROUND((((LARGE(B30:D30,1)+LARGE(B30:D30,2)+E30)/3)+F30+G30), 0.5), 10), 0)</f>
        <v/>
      </c>
      <c r="O30">
        <f>IFERROR(MIN(MROUND((((LARGE(I30:K30,1)+LARGE(I30:K30,2)+L30)/3)+M30+N30), 0.5), 10), 0)</f>
        <v/>
      </c>
      <c r="V30">
        <f>IFERROR(MIN(MROUND((((LARGE(P30:R30,1)+LARGE(P30:R30,2)+S30)/3)+T30+U30), 0.5), 10), 0)</f>
        <v/>
      </c>
      <c r="AC30">
        <f>IFERROR(MIN(MROUND((((LARGE(W30:Y30,1)+LARGE(W30:Y30,2)+Z30)/3)+AA30+AB30), 0.5), 10), 0)</f>
        <v/>
      </c>
      <c r="AD30">
        <f>MROUND(IF(O30=0,H30,IF(V30=0,AVERAGE(H30,O30),IF(AC30=0,AVERAGE(H30,O30,V30),AVERAGE(H30,O30,V30,AC30)))), 0.5)</f>
        <v/>
      </c>
      <c r="AE30">
        <f>IF(AD30&gt;=6,"Aprovado","Exame")</f>
        <v/>
      </c>
    </row>
    <row r="31">
      <c r="A31" t="inlineStr">
        <is>
          <t>ROBSON GABRIEL DE SOUZA DORNELES</t>
        </is>
      </c>
      <c r="H31">
        <f>IFERROR(MIN(MROUND((((LARGE(B31:D31,1)+LARGE(B31:D31,2)+E31)/3)+F31+G31), 0.5), 10), 0)</f>
        <v/>
      </c>
      <c r="O31">
        <f>IFERROR(MIN(MROUND((((LARGE(I31:K31,1)+LARGE(I31:K31,2)+L31)/3)+M31+N31), 0.5), 10), 0)</f>
        <v/>
      </c>
      <c r="V31">
        <f>IFERROR(MIN(MROUND((((LARGE(P31:R31,1)+LARGE(P31:R31,2)+S31)/3)+T31+U31), 0.5), 10), 0)</f>
        <v/>
      </c>
      <c r="AC31">
        <f>IFERROR(MIN(MROUND((((LARGE(W31:Y31,1)+LARGE(W31:Y31,2)+Z31)/3)+AA31+AB31), 0.5), 10), 0)</f>
        <v/>
      </c>
      <c r="AD31">
        <f>MROUND(IF(O31=0,H31,IF(V31=0,AVERAGE(H31,O31),IF(AC31=0,AVERAGE(H31,O31,V31),AVERAGE(H31,O31,V31,AC31)))), 0.5)</f>
        <v/>
      </c>
      <c r="AE31">
        <f>IF(AD31&gt;=6,"Aprovado","Exame")</f>
        <v/>
      </c>
    </row>
    <row r="32">
      <c r="A32" t="inlineStr">
        <is>
          <t>SABRINA PIRES DE SOUSA</t>
        </is>
      </c>
      <c r="H32">
        <f>IFERROR(MIN(MROUND((((LARGE(B32:D32,1)+LARGE(B32:D32,2)+E32)/3)+F32+G32), 0.5), 10), 0)</f>
        <v/>
      </c>
      <c r="O32">
        <f>IFERROR(MIN(MROUND((((LARGE(I32:K32,1)+LARGE(I32:K32,2)+L32)/3)+M32+N32), 0.5), 10), 0)</f>
        <v/>
      </c>
      <c r="V32">
        <f>IFERROR(MIN(MROUND((((LARGE(P32:R32,1)+LARGE(P32:R32,2)+S32)/3)+T32+U32), 0.5), 10), 0)</f>
        <v/>
      </c>
      <c r="AC32">
        <f>IFERROR(MIN(MROUND((((LARGE(W32:Y32,1)+LARGE(W32:Y32,2)+Z32)/3)+AA32+AB32), 0.5), 10), 0)</f>
        <v/>
      </c>
      <c r="AD32">
        <f>MROUND(IF(O32=0,H32,IF(V32=0,AVERAGE(H32,O32),IF(AC32=0,AVERAGE(H32,O32,V32),AVERAGE(H32,O32,V32,AC32)))), 0.5)</f>
        <v/>
      </c>
      <c r="AE32">
        <f>IF(AD32&gt;=6,"Aprovado","Exame")</f>
        <v/>
      </c>
    </row>
    <row r="33">
      <c r="A33" t="inlineStr">
        <is>
          <t>SÂMIA DE OLIVEIRA ZACARIAS</t>
        </is>
      </c>
      <c r="H33">
        <f>IFERROR(MIN(MROUND((((LARGE(B33:D33,1)+LARGE(B33:D33,2)+E33)/3)+F33+G33), 0.5), 10), 0)</f>
        <v/>
      </c>
      <c r="O33">
        <f>IFERROR(MIN(MROUND((((LARGE(I33:K33,1)+LARGE(I33:K33,2)+L33)/3)+M33+N33), 0.5), 10), 0)</f>
        <v/>
      </c>
      <c r="V33">
        <f>IFERROR(MIN(MROUND((((LARGE(P33:R33,1)+LARGE(P33:R33,2)+S33)/3)+T33+U33), 0.5), 10), 0)</f>
        <v/>
      </c>
      <c r="AC33">
        <f>IFERROR(MIN(MROUND((((LARGE(W33:Y33,1)+LARGE(W33:Y33,2)+Z33)/3)+AA33+AB33), 0.5), 10), 0)</f>
        <v/>
      </c>
      <c r="AD33">
        <f>MROUND(IF(O33=0,H33,IF(V33=0,AVERAGE(H33,O33),IF(AC33=0,AVERAGE(H33,O33,V33),AVERAGE(H33,O33,V33,AC33)))), 0.5)</f>
        <v/>
      </c>
      <c r="AE33">
        <f>IF(AD33&gt;=6,"Aprovado","Exame")</f>
        <v/>
      </c>
    </row>
    <row r="34">
      <c r="A34" t="inlineStr">
        <is>
          <t>SOFIA DE SOUZA BERNARDO</t>
        </is>
      </c>
      <c r="H34">
        <f>IFERROR(MIN(MROUND((((LARGE(B34:D34,1)+LARGE(B34:D34,2)+E34)/3)+F34+G34), 0.5), 10), 0)</f>
        <v/>
      </c>
      <c r="O34">
        <f>IFERROR(MIN(MROUND((((LARGE(I34:K34,1)+LARGE(I34:K34,2)+L34)/3)+M34+N34), 0.5), 10), 0)</f>
        <v/>
      </c>
      <c r="V34">
        <f>IFERROR(MIN(MROUND((((LARGE(P34:R34,1)+LARGE(P34:R34,2)+S34)/3)+T34+U34), 0.5), 10), 0)</f>
        <v/>
      </c>
      <c r="AC34">
        <f>IFERROR(MIN(MROUND((((LARGE(W34:Y34,1)+LARGE(W34:Y34,2)+Z34)/3)+AA34+AB34), 0.5), 10), 0)</f>
        <v/>
      </c>
      <c r="AD34">
        <f>MROUND(IF(O34=0,H34,IF(V34=0,AVERAGE(H34,O34),IF(AC34=0,AVERAGE(H34,O34,V34),AVERAGE(H34,O34,V34,AC34)))), 0.5)</f>
        <v/>
      </c>
      <c r="AE34">
        <f>IF(AD34&gt;=6,"Aprovado","Exame")</f>
        <v/>
      </c>
    </row>
    <row r="35">
      <c r="A35" t="inlineStr">
        <is>
          <t>SOPHIA MARIA MACIEL DA SILVA</t>
        </is>
      </c>
      <c r="H35">
        <f>IFERROR(MIN(MROUND((((LARGE(B35:D35,1)+LARGE(B35:D35,2)+E35)/3)+F35+G35), 0.5), 10), 0)</f>
        <v/>
      </c>
      <c r="O35">
        <f>IFERROR(MIN(MROUND((((LARGE(I35:K35,1)+LARGE(I35:K35,2)+L35)/3)+M35+N35), 0.5), 10), 0)</f>
        <v/>
      </c>
      <c r="V35">
        <f>IFERROR(MIN(MROUND((((LARGE(P35:R35,1)+LARGE(P35:R35,2)+S35)/3)+T35+U35), 0.5), 10), 0)</f>
        <v/>
      </c>
      <c r="AC35">
        <f>IFERROR(MIN(MROUND((((LARGE(W35:Y35,1)+LARGE(W35:Y35,2)+Z35)/3)+AA35+AB35), 0.5), 10), 0)</f>
        <v/>
      </c>
      <c r="AD35">
        <f>MROUND(IF(O35=0,H35,IF(V35=0,AVERAGE(H35,O35),IF(AC35=0,AVERAGE(H35,O35,V35),AVERAGE(H35,O35,V35,AC35)))), 0.5)</f>
        <v/>
      </c>
      <c r="AE35">
        <f>IF(AD35&gt;=6,"Aprovado","Exame")</f>
        <v/>
      </c>
    </row>
    <row r="36">
      <c r="A36" t="inlineStr">
        <is>
          <t>VICTORIA ADERNO VASCONCELOS</t>
        </is>
      </c>
      <c r="H36">
        <f>IFERROR(MIN(MROUND((((LARGE(B36:D36,1)+LARGE(B36:D36,2)+E36)/3)+F36+G36), 0.5), 10), 0)</f>
        <v/>
      </c>
      <c r="O36">
        <f>IFERROR(MIN(MROUND((((LARGE(I36:K36,1)+LARGE(I36:K36,2)+L36)/3)+M36+N36), 0.5), 10), 0)</f>
        <v/>
      </c>
      <c r="V36">
        <f>IFERROR(MIN(MROUND((((LARGE(P36:R36,1)+LARGE(P36:R36,2)+S36)/3)+T36+U36), 0.5), 10), 0)</f>
        <v/>
      </c>
      <c r="AC36">
        <f>IFERROR(MIN(MROUND((((LARGE(W36:Y36,1)+LARGE(W36:Y36,2)+Z36)/3)+AA36+AB36), 0.5), 10), 0)</f>
        <v/>
      </c>
      <c r="AD36">
        <f>MROUND(IF(O36=0,H36,IF(V36=0,AVERAGE(H36,O36),IF(AC36=0,AVERAGE(H36,O36,V36),AVERAGE(H36,O36,V36,AC36)))), 0.5)</f>
        <v/>
      </c>
      <c r="AE36">
        <f>IF(AD36&gt;=6,"Aprovado","Exame")</f>
        <v/>
      </c>
    </row>
    <row r="37">
      <c r="A37" t="inlineStr">
        <is>
          <t>YASMIN LOUREIRO DO NASCIMENTO</t>
        </is>
      </c>
      <c r="H37">
        <f>IFERROR(MIN(MROUND((((LARGE(B37:D37,1)+LARGE(B37:D37,2)+E37)/3)+F37+G37), 0.5), 10), 0)</f>
        <v/>
      </c>
      <c r="O37">
        <f>IFERROR(MIN(MROUND((((LARGE(I37:K37,1)+LARGE(I37:K37,2)+L37)/3)+M37+N37), 0.5), 10), 0)</f>
        <v/>
      </c>
      <c r="V37">
        <f>IFERROR(MIN(MROUND((((LARGE(P37:R37,1)+LARGE(P37:R37,2)+S37)/3)+T37+U37), 0.5), 10), 0)</f>
        <v/>
      </c>
      <c r="AC37">
        <f>IFERROR(MIN(MROUND((((LARGE(W37:Y37,1)+LARGE(W37:Y37,2)+Z37)/3)+AA37+AB37), 0.5), 10), 0)</f>
        <v/>
      </c>
      <c r="AD37">
        <f>MROUND(IF(O37=0,H37,IF(V37=0,AVERAGE(H37,O37),IF(AC37=0,AVERAGE(H37,O37,V37),AVERAGE(H37,O37,V37,AC37)))), 0.5)</f>
        <v/>
      </c>
      <c r="AE37">
        <f>IF(AD37&gt;=6,"Aprovado","Exame")</f>
        <v/>
      </c>
    </row>
    <row r="38">
      <c r="A38" t="inlineStr">
        <is>
          <t>MARIA LUIZA MARQUES MANGINI</t>
        </is>
      </c>
      <c r="H38">
        <f>IFERROR(MIN(MROUND((((LARGE(B38:D38,1)+LARGE(B38:D38,2)+E38)/3)+F38+G38), 0.5), 10), 0)</f>
        <v/>
      </c>
      <c r="O38">
        <f>IFERROR(MIN(MROUND((((LARGE(I38:K38,1)+LARGE(I38:K38,2)+L38)/3)+M38+N38), 0.5), 10), 0)</f>
        <v/>
      </c>
      <c r="V38">
        <f>IFERROR(MIN(MROUND((((LARGE(P38:R38,1)+LARGE(P38:R38,2)+S38)/3)+T38+U38), 0.5), 10), 0)</f>
        <v/>
      </c>
      <c r="AC38">
        <f>IFERROR(MIN(MROUND((((LARGE(W38:Y38,1)+LARGE(W38:Y38,2)+Z38)/3)+AA38+AB38), 0.5), 10), 0)</f>
        <v/>
      </c>
      <c r="AD38">
        <f>MROUND(IF(O38=0,H38,IF(V38=0,AVERAGE(H38,O38),IF(AC38=0,AVERAGE(H38,O38,V38),AVERAGE(H38,O38,V38,AC38)))), 0.5)</f>
        <v/>
      </c>
      <c r="AE38">
        <f>IF(AD38&gt;=6,"Aprovado","Exame")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N1_B1</t>
        </is>
      </c>
      <c r="C1" t="inlineStr">
        <is>
          <t>N2_B1</t>
        </is>
      </c>
      <c r="D1" t="inlineStr">
        <is>
          <t>N3_B1</t>
        </is>
      </c>
      <c r="E1" t="inlineStr">
        <is>
          <t>N4_B1</t>
        </is>
      </c>
      <c r="F1" t="inlineStr">
        <is>
          <t>Atv1_B1</t>
        </is>
      </c>
      <c r="G1" t="inlineStr">
        <is>
          <t>Atv2_B1</t>
        </is>
      </c>
      <c r="H1" t="inlineStr">
        <is>
          <t>Media_B1</t>
        </is>
      </c>
      <c r="I1" t="inlineStr">
        <is>
          <t>N1_B2</t>
        </is>
      </c>
      <c r="J1" t="inlineStr">
        <is>
          <t>N2_B2</t>
        </is>
      </c>
      <c r="K1" t="inlineStr">
        <is>
          <t>N3_B2</t>
        </is>
      </c>
      <c r="L1" t="inlineStr">
        <is>
          <t>N4_B2</t>
        </is>
      </c>
      <c r="M1" t="inlineStr">
        <is>
          <t>Atv1_B2</t>
        </is>
      </c>
      <c r="N1" t="inlineStr">
        <is>
          <t>Atv2_B2</t>
        </is>
      </c>
      <c r="O1" t="inlineStr">
        <is>
          <t>Media_B2</t>
        </is>
      </c>
      <c r="P1" t="inlineStr">
        <is>
          <t>N1_B3</t>
        </is>
      </c>
      <c r="Q1" t="inlineStr">
        <is>
          <t>N2_B3</t>
        </is>
      </c>
      <c r="R1" t="inlineStr">
        <is>
          <t>N3_B3</t>
        </is>
      </c>
      <c r="S1" t="inlineStr">
        <is>
          <t>N4_B3</t>
        </is>
      </c>
      <c r="T1" t="inlineStr">
        <is>
          <t>Atv1_B3</t>
        </is>
      </c>
      <c r="U1" t="inlineStr">
        <is>
          <t>Atv2_B3</t>
        </is>
      </c>
      <c r="V1" t="inlineStr">
        <is>
          <t>Media_B3</t>
        </is>
      </c>
      <c r="W1" t="inlineStr">
        <is>
          <t>N1_B4</t>
        </is>
      </c>
      <c r="X1" t="inlineStr">
        <is>
          <t>N2_B4</t>
        </is>
      </c>
      <c r="Y1" t="inlineStr">
        <is>
          <t>N3_B4</t>
        </is>
      </c>
      <c r="Z1" t="inlineStr">
        <is>
          <t>N4_B4</t>
        </is>
      </c>
      <c r="AA1" t="inlineStr">
        <is>
          <t>Atv1_B4</t>
        </is>
      </c>
      <c r="AB1" t="inlineStr">
        <is>
          <t>Atv2_B4</t>
        </is>
      </c>
      <c r="AC1" t="inlineStr">
        <is>
          <t>Media_B4</t>
        </is>
      </c>
      <c r="AD1" t="inlineStr">
        <is>
          <t>Media_Anual</t>
        </is>
      </c>
      <c r="AE1" t="inlineStr">
        <is>
          <t>Status</t>
        </is>
      </c>
    </row>
    <row r="2">
      <c r="A2" t="inlineStr">
        <is>
          <t>ALICE MOREIRA RODRIGUES</t>
        </is>
      </c>
      <c r="H2">
        <f>IFERROR(MIN(MROUND((((LARGE(B2:D2,1)+LARGE(B2:D2,2)+E2)/3)+F2+G2), 0.5), 10), 0)</f>
        <v/>
      </c>
      <c r="O2">
        <f>IFERROR(MIN(MROUND((((LARGE(I2:K2,1)+LARGE(I2:K2,2)+L2)/3)+M2+N2), 0.5), 10), 0)</f>
        <v/>
      </c>
      <c r="V2">
        <f>IFERROR(MIN(MROUND((((LARGE(P2:R2,1)+LARGE(P2:R2,2)+S2)/3)+T2+U2), 0.5), 10), 0)</f>
        <v/>
      </c>
      <c r="AC2">
        <f>IFERROR(MIN(MROUND((((LARGE(W2:Y2,1)+LARGE(W2:Y2,2)+Z2)/3)+AA2+AB2), 0.5), 10), 0)</f>
        <v/>
      </c>
      <c r="AD2">
        <f>MROUND(IF(O2=0,H2,IF(V2=0,AVERAGE(H2,O2),IF(AC2=0,AVERAGE(H2,O2,V2),AVERAGE(H2,O2,V2,AC2)))), 0.5)</f>
        <v/>
      </c>
      <c r="AE2">
        <f>IF(AD2&gt;=6,"Aprovado","Exame")</f>
        <v/>
      </c>
    </row>
    <row r="3">
      <c r="A3" t="inlineStr">
        <is>
          <t>ALICIA MALDONADO TRENTINI</t>
        </is>
      </c>
      <c r="H3">
        <f>IFERROR(MIN(MROUND((((LARGE(B3:D3,1)+LARGE(B3:D3,2)+E3)/3)+F3+G3), 0.5), 10), 0)</f>
        <v/>
      </c>
      <c r="O3">
        <f>IFERROR(MIN(MROUND((((LARGE(I3:K3,1)+LARGE(I3:K3,2)+L3)/3)+M3+N3), 0.5), 10), 0)</f>
        <v/>
      </c>
      <c r="V3">
        <f>IFERROR(MIN(MROUND((((LARGE(P3:R3,1)+LARGE(P3:R3,2)+S3)/3)+T3+U3), 0.5), 10), 0)</f>
        <v/>
      </c>
      <c r="AC3">
        <f>IFERROR(MIN(MROUND((((LARGE(W3:Y3,1)+LARGE(W3:Y3,2)+Z3)/3)+AA3+AB3), 0.5), 10), 0)</f>
        <v/>
      </c>
      <c r="AD3">
        <f>MROUND(IF(O3=0,H3,IF(V3=0,AVERAGE(H3,O3),IF(AC3=0,AVERAGE(H3,O3,V3),AVERAGE(H3,O3,V3,AC3)))), 0.5)</f>
        <v/>
      </c>
      <c r="AE3">
        <f>IF(AD3&gt;=6,"Aprovado","Exame")</f>
        <v/>
      </c>
    </row>
    <row r="4">
      <c r="A4" t="inlineStr">
        <is>
          <t>AMANDA LIMA DE SOUSA</t>
        </is>
      </c>
      <c r="H4">
        <f>IFERROR(MIN(MROUND((((LARGE(B4:D4,1)+LARGE(B4:D4,2)+E4)/3)+F4+G4), 0.5), 10), 0)</f>
        <v/>
      </c>
      <c r="O4">
        <f>IFERROR(MIN(MROUND((((LARGE(I4:K4,1)+LARGE(I4:K4,2)+L4)/3)+M4+N4), 0.5), 10), 0)</f>
        <v/>
      </c>
      <c r="V4">
        <f>IFERROR(MIN(MROUND((((LARGE(P4:R4,1)+LARGE(P4:R4,2)+S4)/3)+T4+U4), 0.5), 10), 0)</f>
        <v/>
      </c>
      <c r="AC4">
        <f>IFERROR(MIN(MROUND((((LARGE(W4:Y4,1)+LARGE(W4:Y4,2)+Z4)/3)+AA4+AB4), 0.5), 10), 0)</f>
        <v/>
      </c>
      <c r="AD4">
        <f>MROUND(IF(O4=0,H4,IF(V4=0,AVERAGE(H4,O4),IF(AC4=0,AVERAGE(H4,O4,V4),AVERAGE(H4,O4,V4,AC4)))), 0.5)</f>
        <v/>
      </c>
      <c r="AE4">
        <f>IF(AD4&gt;=6,"Aprovado","Exame")</f>
        <v/>
      </c>
    </row>
    <row r="5">
      <c r="A5" t="inlineStr">
        <is>
          <t>AMANDA MOURA DE FREITAS</t>
        </is>
      </c>
      <c r="H5">
        <f>IFERROR(MIN(MROUND((((LARGE(B5:D5,1)+LARGE(B5:D5,2)+E5)/3)+F5+G5), 0.5), 10), 0)</f>
        <v/>
      </c>
      <c r="O5">
        <f>IFERROR(MIN(MROUND((((LARGE(I5:K5,1)+LARGE(I5:K5,2)+L5)/3)+M5+N5), 0.5), 10), 0)</f>
        <v/>
      </c>
      <c r="V5">
        <f>IFERROR(MIN(MROUND((((LARGE(P5:R5,1)+LARGE(P5:R5,2)+S5)/3)+T5+U5), 0.5), 10), 0)</f>
        <v/>
      </c>
      <c r="AC5">
        <f>IFERROR(MIN(MROUND((((LARGE(W5:Y5,1)+LARGE(W5:Y5,2)+Z5)/3)+AA5+AB5), 0.5), 10), 0)</f>
        <v/>
      </c>
      <c r="AD5">
        <f>MROUND(IF(O5=0,H5,IF(V5=0,AVERAGE(H5,O5),IF(AC5=0,AVERAGE(H5,O5,V5),AVERAGE(H5,O5,V5,AC5)))), 0.5)</f>
        <v/>
      </c>
      <c r="AE5">
        <f>IF(AD5&gt;=6,"Aprovado","Exame")</f>
        <v/>
      </c>
    </row>
    <row r="6">
      <c r="A6" t="inlineStr">
        <is>
          <t>AMAPOLA GIULIA GOMES BENDER SANTOS</t>
        </is>
      </c>
      <c r="H6">
        <f>IFERROR(MIN(MROUND((((LARGE(B6:D6,1)+LARGE(B6:D6,2)+E6)/3)+F6+G6), 0.5), 10), 0)</f>
        <v/>
      </c>
      <c r="O6">
        <f>IFERROR(MIN(MROUND((((LARGE(I6:K6,1)+LARGE(I6:K6,2)+L6)/3)+M6+N6), 0.5), 10), 0)</f>
        <v/>
      </c>
      <c r="V6">
        <f>IFERROR(MIN(MROUND((((LARGE(P6:R6,1)+LARGE(P6:R6,2)+S6)/3)+T6+U6), 0.5), 10), 0)</f>
        <v/>
      </c>
      <c r="AC6">
        <f>IFERROR(MIN(MROUND((((LARGE(W6:Y6,1)+LARGE(W6:Y6,2)+Z6)/3)+AA6+AB6), 0.5), 10), 0)</f>
        <v/>
      </c>
      <c r="AD6">
        <f>MROUND(IF(O6=0,H6,IF(V6=0,AVERAGE(H6,O6),IF(AC6=0,AVERAGE(H6,O6,V6),AVERAGE(H6,O6,V6,AC6)))), 0.5)</f>
        <v/>
      </c>
      <c r="AE6">
        <f>IF(AD6&gt;=6,"Aprovado","Exame")</f>
        <v/>
      </c>
    </row>
    <row r="7">
      <c r="A7" t="inlineStr">
        <is>
          <t>ANA LUISA ANDRADE ÁVILA</t>
        </is>
      </c>
      <c r="H7">
        <f>IFERROR(MIN(MROUND((((LARGE(B7:D7,1)+LARGE(B7:D7,2)+E7)/3)+F7+G7), 0.5), 10), 0)</f>
        <v/>
      </c>
      <c r="O7">
        <f>IFERROR(MIN(MROUND((((LARGE(I7:K7,1)+LARGE(I7:K7,2)+L7)/3)+M7+N7), 0.5), 10), 0)</f>
        <v/>
      </c>
      <c r="V7">
        <f>IFERROR(MIN(MROUND((((LARGE(P7:R7,1)+LARGE(P7:R7,2)+S7)/3)+T7+U7), 0.5), 10), 0)</f>
        <v/>
      </c>
      <c r="AC7">
        <f>IFERROR(MIN(MROUND((((LARGE(W7:Y7,1)+LARGE(W7:Y7,2)+Z7)/3)+AA7+AB7), 0.5), 10), 0)</f>
        <v/>
      </c>
      <c r="AD7">
        <f>MROUND(IF(O7=0,H7,IF(V7=0,AVERAGE(H7,O7),IF(AC7=0,AVERAGE(H7,O7,V7),AVERAGE(H7,O7,V7,AC7)))), 0.5)</f>
        <v/>
      </c>
      <c r="AE7">
        <f>IF(AD7&gt;=6,"Aprovado","Exame")</f>
        <v/>
      </c>
    </row>
    <row r="8">
      <c r="A8" t="inlineStr">
        <is>
          <t>ANGELINA NOGUEIRA BRANDÃO</t>
        </is>
      </c>
      <c r="H8">
        <f>IFERROR(MIN(MROUND((((LARGE(B8:D8,1)+LARGE(B8:D8,2)+E8)/3)+F8+G8), 0.5), 10), 0)</f>
        <v/>
      </c>
      <c r="O8">
        <f>IFERROR(MIN(MROUND((((LARGE(I8:K8,1)+LARGE(I8:K8,2)+L8)/3)+M8+N8), 0.5), 10), 0)</f>
        <v/>
      </c>
      <c r="V8">
        <f>IFERROR(MIN(MROUND((((LARGE(P8:R8,1)+LARGE(P8:R8,2)+S8)/3)+T8+U8), 0.5), 10), 0)</f>
        <v/>
      </c>
      <c r="AC8">
        <f>IFERROR(MIN(MROUND((((LARGE(W8:Y8,1)+LARGE(W8:Y8,2)+Z8)/3)+AA8+AB8), 0.5), 10), 0)</f>
        <v/>
      </c>
      <c r="AD8">
        <f>MROUND(IF(O8=0,H8,IF(V8=0,AVERAGE(H8,O8),IF(AC8=0,AVERAGE(H8,O8,V8),AVERAGE(H8,O8,V8,AC8)))), 0.5)</f>
        <v/>
      </c>
      <c r="AE8">
        <f>IF(AD8&gt;=6,"Aprovado","Exame")</f>
        <v/>
      </c>
    </row>
    <row r="9">
      <c r="A9" t="inlineStr">
        <is>
          <t>ANY BEATRICI PINHEIRO GAMA</t>
        </is>
      </c>
      <c r="H9">
        <f>IFERROR(MIN(MROUND((((LARGE(B9:D9,1)+LARGE(B9:D9,2)+E9)/3)+F9+G9), 0.5), 10), 0)</f>
        <v/>
      </c>
      <c r="O9">
        <f>IFERROR(MIN(MROUND((((LARGE(I9:K9,1)+LARGE(I9:K9,2)+L9)/3)+M9+N9), 0.5), 10), 0)</f>
        <v/>
      </c>
      <c r="V9">
        <f>IFERROR(MIN(MROUND((((LARGE(P9:R9,1)+LARGE(P9:R9,2)+S9)/3)+T9+U9), 0.5), 10), 0)</f>
        <v/>
      </c>
      <c r="AC9">
        <f>IFERROR(MIN(MROUND((((LARGE(W9:Y9,1)+LARGE(W9:Y9,2)+Z9)/3)+AA9+AB9), 0.5), 10), 0)</f>
        <v/>
      </c>
      <c r="AD9">
        <f>MROUND(IF(O9=0,H9,IF(V9=0,AVERAGE(H9,O9),IF(AC9=0,AVERAGE(H9,O9,V9),AVERAGE(H9,O9,V9,AC9)))), 0.5)</f>
        <v/>
      </c>
      <c r="AE9">
        <f>IF(AD9&gt;=6,"Aprovado","Exame")</f>
        <v/>
      </c>
    </row>
    <row r="10">
      <c r="A10" t="inlineStr">
        <is>
          <t>APOLO VERDIN SALES DE MOURA CAMPOS</t>
        </is>
      </c>
      <c r="H10">
        <f>IFERROR(MIN(MROUND((((LARGE(B10:D10,1)+LARGE(B10:D10,2)+E10)/3)+F10+G10), 0.5), 10), 0)</f>
        <v/>
      </c>
      <c r="O10">
        <f>IFERROR(MIN(MROUND((((LARGE(I10:K10,1)+LARGE(I10:K10,2)+L10)/3)+M10+N10), 0.5), 10), 0)</f>
        <v/>
      </c>
      <c r="V10">
        <f>IFERROR(MIN(MROUND((((LARGE(P10:R10,1)+LARGE(P10:R10,2)+S10)/3)+T10+U10), 0.5), 10), 0)</f>
        <v/>
      </c>
      <c r="AC10">
        <f>IFERROR(MIN(MROUND((((LARGE(W10:Y10,1)+LARGE(W10:Y10,2)+Z10)/3)+AA10+AB10), 0.5), 10), 0)</f>
        <v/>
      </c>
      <c r="AD10">
        <f>MROUND(IF(O10=0,H10,IF(V10=0,AVERAGE(H10,O10),IF(AC10=0,AVERAGE(H10,O10,V10),AVERAGE(H10,O10,V10,AC10)))), 0.5)</f>
        <v/>
      </c>
      <c r="AE10">
        <f>IF(AD10&gt;=6,"Aprovado","Exame")</f>
        <v/>
      </c>
    </row>
    <row r="11">
      <c r="A11" t="inlineStr">
        <is>
          <t>ARIEL ARAUJO JUNIOR</t>
        </is>
      </c>
      <c r="H11">
        <f>IFERROR(MIN(MROUND((((LARGE(B11:D11,1)+LARGE(B11:D11,2)+E11)/3)+F11+G11), 0.5), 10), 0)</f>
        <v/>
      </c>
      <c r="O11">
        <f>IFERROR(MIN(MROUND((((LARGE(I11:K11,1)+LARGE(I11:K11,2)+L11)/3)+M11+N11), 0.5), 10), 0)</f>
        <v/>
      </c>
      <c r="V11">
        <f>IFERROR(MIN(MROUND((((LARGE(P11:R11,1)+LARGE(P11:R11,2)+S11)/3)+T11+U11), 0.5), 10), 0)</f>
        <v/>
      </c>
      <c r="AC11">
        <f>IFERROR(MIN(MROUND((((LARGE(W11:Y11,1)+LARGE(W11:Y11,2)+Z11)/3)+AA11+AB11), 0.5), 10), 0)</f>
        <v/>
      </c>
      <c r="AD11">
        <f>MROUND(IF(O11=0,H11,IF(V11=0,AVERAGE(H11,O11),IF(AC11=0,AVERAGE(H11,O11,V11),AVERAGE(H11,O11,V11,AC11)))), 0.5)</f>
        <v/>
      </c>
      <c r="AE11">
        <f>IF(AD11&gt;=6,"Aprovado","Exame")</f>
        <v/>
      </c>
    </row>
    <row r="12">
      <c r="A12" t="inlineStr">
        <is>
          <t>CAUEH GRESSLER DE MEIRA</t>
        </is>
      </c>
      <c r="H12">
        <f>IFERROR(MIN(MROUND((((LARGE(B12:D12,1)+LARGE(B12:D12,2)+E12)/3)+F12+G12), 0.5), 10), 0)</f>
        <v/>
      </c>
      <c r="O12">
        <f>IFERROR(MIN(MROUND((((LARGE(I12:K12,1)+LARGE(I12:K12,2)+L12)/3)+M12+N12), 0.5), 10), 0)</f>
        <v/>
      </c>
      <c r="V12">
        <f>IFERROR(MIN(MROUND((((LARGE(P12:R12,1)+LARGE(P12:R12,2)+S12)/3)+T12+U12), 0.5), 10), 0)</f>
        <v/>
      </c>
      <c r="AC12">
        <f>IFERROR(MIN(MROUND((((LARGE(W12:Y12,1)+LARGE(W12:Y12,2)+Z12)/3)+AA12+AB12), 0.5), 10), 0)</f>
        <v/>
      </c>
      <c r="AD12">
        <f>MROUND(IF(O12=0,H12,IF(V12=0,AVERAGE(H12,O12),IF(AC12=0,AVERAGE(H12,O12,V12),AVERAGE(H12,O12,V12,AC12)))), 0.5)</f>
        <v/>
      </c>
      <c r="AE12">
        <f>IF(AD12&gt;=6,"Aprovado","Exame")</f>
        <v/>
      </c>
    </row>
    <row r="13">
      <c r="A13" t="inlineStr">
        <is>
          <t>DANIELA MARTIN ANDRADE</t>
        </is>
      </c>
      <c r="H13">
        <f>IFERROR(MIN(MROUND((((LARGE(B13:D13,1)+LARGE(B13:D13,2)+E13)/3)+F13+G13), 0.5), 10), 0)</f>
        <v/>
      </c>
      <c r="O13">
        <f>IFERROR(MIN(MROUND((((LARGE(I13:K13,1)+LARGE(I13:K13,2)+L13)/3)+M13+N13), 0.5), 10), 0)</f>
        <v/>
      </c>
      <c r="V13">
        <f>IFERROR(MIN(MROUND((((LARGE(P13:R13,1)+LARGE(P13:R13,2)+S13)/3)+T13+U13), 0.5), 10), 0)</f>
        <v/>
      </c>
      <c r="AC13">
        <f>IFERROR(MIN(MROUND((((LARGE(W13:Y13,1)+LARGE(W13:Y13,2)+Z13)/3)+AA13+AB13), 0.5), 10), 0)</f>
        <v/>
      </c>
      <c r="AD13">
        <f>MROUND(IF(O13=0,H13,IF(V13=0,AVERAGE(H13,O13),IF(AC13=0,AVERAGE(H13,O13,V13),AVERAGE(H13,O13,V13,AC13)))), 0.5)</f>
        <v/>
      </c>
      <c r="AE13">
        <f>IF(AD13&gt;=6,"Aprovado","Exame")</f>
        <v/>
      </c>
    </row>
    <row r="14">
      <c r="A14" t="inlineStr">
        <is>
          <t>DANIEL ARECO CORDEIRO</t>
        </is>
      </c>
      <c r="H14">
        <f>IFERROR(MIN(MROUND((((LARGE(B14:D14,1)+LARGE(B14:D14,2)+E14)/3)+F14+G14), 0.5), 10), 0)</f>
        <v/>
      </c>
      <c r="O14">
        <f>IFERROR(MIN(MROUND((((LARGE(I14:K14,1)+LARGE(I14:K14,2)+L14)/3)+M14+N14), 0.5), 10), 0)</f>
        <v/>
      </c>
      <c r="V14">
        <f>IFERROR(MIN(MROUND((((LARGE(P14:R14,1)+LARGE(P14:R14,2)+S14)/3)+T14+U14), 0.5), 10), 0)</f>
        <v/>
      </c>
      <c r="AC14">
        <f>IFERROR(MIN(MROUND((((LARGE(W14:Y14,1)+LARGE(W14:Y14,2)+Z14)/3)+AA14+AB14), 0.5), 10), 0)</f>
        <v/>
      </c>
      <c r="AD14">
        <f>MROUND(IF(O14=0,H14,IF(V14=0,AVERAGE(H14,O14),IF(AC14=0,AVERAGE(H14,O14,V14),AVERAGE(H14,O14,V14,AC14)))), 0.5)</f>
        <v/>
      </c>
      <c r="AE14">
        <f>IF(AD14&gt;=6,"Aprovado","Exame")</f>
        <v/>
      </c>
    </row>
    <row r="15">
      <c r="A15" t="inlineStr">
        <is>
          <t>EDUARDO HENRIQUE SANTOS NUNES</t>
        </is>
      </c>
      <c r="H15">
        <f>IFERROR(MIN(MROUND((((LARGE(B15:D15,1)+LARGE(B15:D15,2)+E15)/3)+F15+G15), 0.5), 10), 0)</f>
        <v/>
      </c>
      <c r="O15">
        <f>IFERROR(MIN(MROUND((((LARGE(I15:K15,1)+LARGE(I15:K15,2)+L15)/3)+M15+N15), 0.5), 10), 0)</f>
        <v/>
      </c>
      <c r="V15">
        <f>IFERROR(MIN(MROUND((((LARGE(P15:R15,1)+LARGE(P15:R15,2)+S15)/3)+T15+U15), 0.5), 10), 0)</f>
        <v/>
      </c>
      <c r="AC15">
        <f>IFERROR(MIN(MROUND((((LARGE(W15:Y15,1)+LARGE(W15:Y15,2)+Z15)/3)+AA15+AB15), 0.5), 10), 0)</f>
        <v/>
      </c>
      <c r="AD15">
        <f>MROUND(IF(O15=0,H15,IF(V15=0,AVERAGE(H15,O15),IF(AC15=0,AVERAGE(H15,O15,V15),AVERAGE(H15,O15,V15,AC15)))), 0.5)</f>
        <v/>
      </c>
      <c r="AE15">
        <f>IF(AD15&gt;=6,"Aprovado","Exame")</f>
        <v/>
      </c>
    </row>
    <row r="16">
      <c r="A16" t="inlineStr">
        <is>
          <t>EVELYN DA SILVA ROCHA</t>
        </is>
      </c>
      <c r="H16">
        <f>IFERROR(MIN(MROUND((((LARGE(B16:D16,1)+LARGE(B16:D16,2)+E16)/3)+F16+G16), 0.5), 10), 0)</f>
        <v/>
      </c>
      <c r="O16">
        <f>IFERROR(MIN(MROUND((((LARGE(I16:K16,1)+LARGE(I16:K16,2)+L16)/3)+M16+N16), 0.5), 10), 0)</f>
        <v/>
      </c>
      <c r="V16">
        <f>IFERROR(MIN(MROUND((((LARGE(P16:R16,1)+LARGE(P16:R16,2)+S16)/3)+T16+U16), 0.5), 10), 0)</f>
        <v/>
      </c>
      <c r="AC16">
        <f>IFERROR(MIN(MROUND((((LARGE(W16:Y16,1)+LARGE(W16:Y16,2)+Z16)/3)+AA16+AB16), 0.5), 10), 0)</f>
        <v/>
      </c>
      <c r="AD16">
        <f>MROUND(IF(O16=0,H16,IF(V16=0,AVERAGE(H16,O16),IF(AC16=0,AVERAGE(H16,O16,V16),AVERAGE(H16,O16,V16,AC16)))), 0.5)</f>
        <v/>
      </c>
      <c r="AE16">
        <f>IF(AD16&gt;=6,"Aprovado","Exame")</f>
        <v/>
      </c>
    </row>
    <row r="17">
      <c r="A17" t="inlineStr">
        <is>
          <t>GABRIELA CARAMALAC CRUZ</t>
        </is>
      </c>
      <c r="H17">
        <f>IFERROR(MIN(MROUND((((LARGE(B17:D17,1)+LARGE(B17:D17,2)+E17)/3)+F17+G17), 0.5), 10), 0)</f>
        <v/>
      </c>
      <c r="O17">
        <f>IFERROR(MIN(MROUND((((LARGE(I17:K17,1)+LARGE(I17:K17,2)+L17)/3)+M17+N17), 0.5), 10), 0)</f>
        <v/>
      </c>
      <c r="V17">
        <f>IFERROR(MIN(MROUND((((LARGE(P17:R17,1)+LARGE(P17:R17,2)+S17)/3)+T17+U17), 0.5), 10), 0)</f>
        <v/>
      </c>
      <c r="AC17">
        <f>IFERROR(MIN(MROUND((((LARGE(W17:Y17,1)+LARGE(W17:Y17,2)+Z17)/3)+AA17+AB17), 0.5), 10), 0)</f>
        <v/>
      </c>
      <c r="AD17">
        <f>MROUND(IF(O17=0,H17,IF(V17=0,AVERAGE(H17,O17),IF(AC17=0,AVERAGE(H17,O17,V17),AVERAGE(H17,O17,V17,AC17)))), 0.5)</f>
        <v/>
      </c>
      <c r="AE17">
        <f>IF(AD17&gt;=6,"Aprovado","Exame")</f>
        <v/>
      </c>
    </row>
    <row r="18">
      <c r="A18" t="inlineStr">
        <is>
          <t>GUILHERME DA SILVA BRITEZ</t>
        </is>
      </c>
      <c r="H18">
        <f>IFERROR(MIN(MROUND((((LARGE(B18:D18,1)+LARGE(B18:D18,2)+E18)/3)+F18+G18), 0.5), 10), 0)</f>
        <v/>
      </c>
      <c r="O18">
        <f>IFERROR(MIN(MROUND((((LARGE(I18:K18,1)+LARGE(I18:K18,2)+L18)/3)+M18+N18), 0.5), 10), 0)</f>
        <v/>
      </c>
      <c r="V18">
        <f>IFERROR(MIN(MROUND((((LARGE(P18:R18,1)+LARGE(P18:R18,2)+S18)/3)+T18+U18), 0.5), 10), 0)</f>
        <v/>
      </c>
      <c r="AC18">
        <f>IFERROR(MIN(MROUND((((LARGE(W18:Y18,1)+LARGE(W18:Y18,2)+Z18)/3)+AA18+AB18), 0.5), 10), 0)</f>
        <v/>
      </c>
      <c r="AD18">
        <f>MROUND(IF(O18=0,H18,IF(V18=0,AVERAGE(H18,O18),IF(AC18=0,AVERAGE(H18,O18,V18),AVERAGE(H18,O18,V18,AC18)))), 0.5)</f>
        <v/>
      </c>
      <c r="AE18">
        <f>IF(AD18&gt;=6,"Aprovado","Exame")</f>
        <v/>
      </c>
    </row>
    <row r="19">
      <c r="A19" t="inlineStr">
        <is>
          <t>GUILHERME MIRANDA DOS SANTOS</t>
        </is>
      </c>
      <c r="H19">
        <f>IFERROR(MIN(MROUND((((LARGE(B19:D19,1)+LARGE(B19:D19,2)+E19)/3)+F19+G19), 0.5), 10), 0)</f>
        <v/>
      </c>
      <c r="O19">
        <f>IFERROR(MIN(MROUND((((LARGE(I19:K19,1)+LARGE(I19:K19,2)+L19)/3)+M19+N19), 0.5), 10), 0)</f>
        <v/>
      </c>
      <c r="V19">
        <f>IFERROR(MIN(MROUND((((LARGE(P19:R19,1)+LARGE(P19:R19,2)+S19)/3)+T19+U19), 0.5), 10), 0)</f>
        <v/>
      </c>
      <c r="AC19">
        <f>IFERROR(MIN(MROUND((((LARGE(W19:Y19,1)+LARGE(W19:Y19,2)+Z19)/3)+AA19+AB19), 0.5), 10), 0)</f>
        <v/>
      </c>
      <c r="AD19">
        <f>MROUND(IF(O19=0,H19,IF(V19=0,AVERAGE(H19,O19),IF(AC19=0,AVERAGE(H19,O19,V19),AVERAGE(H19,O19,V19,AC19)))), 0.5)</f>
        <v/>
      </c>
      <c r="AE19">
        <f>IF(AD19&gt;=6,"Aprovado","Exame")</f>
        <v/>
      </c>
    </row>
    <row r="20">
      <c r="A20" t="inlineStr">
        <is>
          <t>GUILHERME NUNES FERREIRA</t>
        </is>
      </c>
      <c r="H20">
        <f>IFERROR(MIN(MROUND((((LARGE(B20:D20,1)+LARGE(B20:D20,2)+E20)/3)+F20+G20), 0.5), 10), 0)</f>
        <v/>
      </c>
      <c r="O20">
        <f>IFERROR(MIN(MROUND((((LARGE(I20:K20,1)+LARGE(I20:K20,2)+L20)/3)+M20+N20), 0.5), 10), 0)</f>
        <v/>
      </c>
      <c r="V20">
        <f>IFERROR(MIN(MROUND((((LARGE(P20:R20,1)+LARGE(P20:R20,2)+S20)/3)+T20+U20), 0.5), 10), 0)</f>
        <v/>
      </c>
      <c r="AC20">
        <f>IFERROR(MIN(MROUND((((LARGE(W20:Y20,1)+LARGE(W20:Y20,2)+Z20)/3)+AA20+AB20), 0.5), 10), 0)</f>
        <v/>
      </c>
      <c r="AD20">
        <f>MROUND(IF(O20=0,H20,IF(V20=0,AVERAGE(H20,O20),IF(AC20=0,AVERAGE(H20,O20,V20),AVERAGE(H20,O20,V20,AC20)))), 0.5)</f>
        <v/>
      </c>
      <c r="AE20">
        <f>IF(AD20&gt;=6,"Aprovado","Exame")</f>
        <v/>
      </c>
    </row>
    <row r="21">
      <c r="A21" t="inlineStr">
        <is>
          <t>GUSTAVO COSTA SOARES</t>
        </is>
      </c>
      <c r="H21">
        <f>IFERROR(MIN(MROUND((((LARGE(B21:D21,1)+LARGE(B21:D21,2)+E21)/3)+F21+G21), 0.5), 10), 0)</f>
        <v/>
      </c>
      <c r="O21">
        <f>IFERROR(MIN(MROUND((((LARGE(I21:K21,1)+LARGE(I21:K21,2)+L21)/3)+M21+N21), 0.5), 10), 0)</f>
        <v/>
      </c>
      <c r="V21">
        <f>IFERROR(MIN(MROUND((((LARGE(P21:R21,1)+LARGE(P21:R21,2)+S21)/3)+T21+U21), 0.5), 10), 0)</f>
        <v/>
      </c>
      <c r="AC21">
        <f>IFERROR(MIN(MROUND((((LARGE(W21:Y21,1)+LARGE(W21:Y21,2)+Z21)/3)+AA21+AB21), 0.5), 10), 0)</f>
        <v/>
      </c>
      <c r="AD21">
        <f>MROUND(IF(O21=0,H21,IF(V21=0,AVERAGE(H21,O21),IF(AC21=0,AVERAGE(H21,O21,V21),AVERAGE(H21,O21,V21,AC21)))), 0.5)</f>
        <v/>
      </c>
      <c r="AE21">
        <f>IF(AD21&gt;=6,"Aprovado","Exame")</f>
        <v/>
      </c>
    </row>
    <row r="22">
      <c r="A22" t="inlineStr">
        <is>
          <t>IAGO RYUJI ONISHI MIRANDA</t>
        </is>
      </c>
      <c r="H22">
        <f>IFERROR(MIN(MROUND((((LARGE(B22:D22,1)+LARGE(B22:D22,2)+E22)/3)+F22+G22), 0.5), 10), 0)</f>
        <v/>
      </c>
      <c r="O22">
        <f>IFERROR(MIN(MROUND((((LARGE(I22:K22,1)+LARGE(I22:K22,2)+L22)/3)+M22+N22), 0.5), 10), 0)</f>
        <v/>
      </c>
      <c r="V22">
        <f>IFERROR(MIN(MROUND((((LARGE(P22:R22,1)+LARGE(P22:R22,2)+S22)/3)+T22+U22), 0.5), 10), 0)</f>
        <v/>
      </c>
      <c r="AC22">
        <f>IFERROR(MIN(MROUND((((LARGE(W22:Y22,1)+LARGE(W22:Y22,2)+Z22)/3)+AA22+AB22), 0.5), 10), 0)</f>
        <v/>
      </c>
      <c r="AD22">
        <f>MROUND(IF(O22=0,H22,IF(V22=0,AVERAGE(H22,O22),IF(AC22=0,AVERAGE(H22,O22,V22),AVERAGE(H22,O22,V22,AC22)))), 0.5)</f>
        <v/>
      </c>
      <c r="AE22">
        <f>IF(AD22&gt;=6,"Aprovado","Exame")</f>
        <v/>
      </c>
    </row>
    <row r="23">
      <c r="A23" t="inlineStr">
        <is>
          <t>ISABELA BENITES MADUREIRA DE PINHO</t>
        </is>
      </c>
      <c r="H23">
        <f>IFERROR(MIN(MROUND((((LARGE(B23:D23,1)+LARGE(B23:D23,2)+E23)/3)+F23+G23), 0.5), 10), 0)</f>
        <v/>
      </c>
      <c r="O23">
        <f>IFERROR(MIN(MROUND((((LARGE(I23:K23,1)+LARGE(I23:K23,2)+L23)/3)+M23+N23), 0.5), 10), 0)</f>
        <v/>
      </c>
      <c r="V23">
        <f>IFERROR(MIN(MROUND((((LARGE(P23:R23,1)+LARGE(P23:R23,2)+S23)/3)+T23+U23), 0.5), 10), 0)</f>
        <v/>
      </c>
      <c r="AC23">
        <f>IFERROR(MIN(MROUND((((LARGE(W23:Y23,1)+LARGE(W23:Y23,2)+Z23)/3)+AA23+AB23), 0.5), 10), 0)</f>
        <v/>
      </c>
      <c r="AD23">
        <f>MROUND(IF(O23=0,H23,IF(V23=0,AVERAGE(H23,O23),IF(AC23=0,AVERAGE(H23,O23,V23),AVERAGE(H23,O23,V23,AC23)))), 0.5)</f>
        <v/>
      </c>
      <c r="AE23">
        <f>IF(AD23&gt;=6,"Aprovado","Exame")</f>
        <v/>
      </c>
    </row>
    <row r="24">
      <c r="A24" t="inlineStr">
        <is>
          <t>ISABELLA LETÍCIA FERREIRA DA SILVA</t>
        </is>
      </c>
      <c r="H24">
        <f>IFERROR(MIN(MROUND((((LARGE(B24:D24,1)+LARGE(B24:D24,2)+E24)/3)+F24+G24), 0.5), 10), 0)</f>
        <v/>
      </c>
      <c r="O24">
        <f>IFERROR(MIN(MROUND((((LARGE(I24:K24,1)+LARGE(I24:K24,2)+L24)/3)+M24+N24), 0.5), 10), 0)</f>
        <v/>
      </c>
      <c r="V24">
        <f>IFERROR(MIN(MROUND((((LARGE(P24:R24,1)+LARGE(P24:R24,2)+S24)/3)+T24+U24), 0.5), 10), 0)</f>
        <v/>
      </c>
      <c r="AC24">
        <f>IFERROR(MIN(MROUND((((LARGE(W24:Y24,1)+LARGE(W24:Y24,2)+Z24)/3)+AA24+AB24), 0.5), 10), 0)</f>
        <v/>
      </c>
      <c r="AD24">
        <f>MROUND(IF(O24=0,H24,IF(V24=0,AVERAGE(H24,O24),IF(AC24=0,AVERAGE(H24,O24,V24),AVERAGE(H24,O24,V24,AC24)))), 0.5)</f>
        <v/>
      </c>
      <c r="AE24">
        <f>IF(AD24&gt;=6,"Aprovado","Exame")</f>
        <v/>
      </c>
    </row>
    <row r="25">
      <c r="A25" t="inlineStr">
        <is>
          <t>ISABELY ROSSETTINI BAGNOLI COSTA</t>
        </is>
      </c>
      <c r="H25">
        <f>IFERROR(MIN(MROUND((((LARGE(B25:D25,1)+LARGE(B25:D25,2)+E25)/3)+F25+G25), 0.5), 10), 0)</f>
        <v/>
      </c>
      <c r="O25">
        <f>IFERROR(MIN(MROUND((((LARGE(I25:K25,1)+LARGE(I25:K25,2)+L25)/3)+M25+N25), 0.5), 10), 0)</f>
        <v/>
      </c>
      <c r="V25">
        <f>IFERROR(MIN(MROUND((((LARGE(P25:R25,1)+LARGE(P25:R25,2)+S25)/3)+T25+U25), 0.5), 10), 0)</f>
        <v/>
      </c>
      <c r="AC25">
        <f>IFERROR(MIN(MROUND((((LARGE(W25:Y25,1)+LARGE(W25:Y25,2)+Z25)/3)+AA25+AB25), 0.5), 10), 0)</f>
        <v/>
      </c>
      <c r="AD25">
        <f>MROUND(IF(O25=0,H25,IF(V25=0,AVERAGE(H25,O25),IF(AC25=0,AVERAGE(H25,O25,V25),AVERAGE(H25,O25,V25,AC25)))), 0.5)</f>
        <v/>
      </c>
      <c r="AE25">
        <f>IF(AD25&gt;=6,"Aprovado","Exame")</f>
        <v/>
      </c>
    </row>
    <row r="26">
      <c r="A26" t="inlineStr">
        <is>
          <t>JOÃO LUCAS LOPES BARCELOS</t>
        </is>
      </c>
      <c r="H26">
        <f>IFERROR(MIN(MROUND((((LARGE(B26:D26,1)+LARGE(B26:D26,2)+E26)/3)+F26+G26), 0.5), 10), 0)</f>
        <v/>
      </c>
      <c r="O26">
        <f>IFERROR(MIN(MROUND((((LARGE(I26:K26,1)+LARGE(I26:K26,2)+L26)/3)+M26+N26), 0.5), 10), 0)</f>
        <v/>
      </c>
      <c r="V26">
        <f>IFERROR(MIN(MROUND((((LARGE(P26:R26,1)+LARGE(P26:R26,2)+S26)/3)+T26+U26), 0.5), 10), 0)</f>
        <v/>
      </c>
      <c r="AC26">
        <f>IFERROR(MIN(MROUND((((LARGE(W26:Y26,1)+LARGE(W26:Y26,2)+Z26)/3)+AA26+AB26), 0.5), 10), 0)</f>
        <v/>
      </c>
      <c r="AD26">
        <f>MROUND(IF(O26=0,H26,IF(V26=0,AVERAGE(H26,O26),IF(AC26=0,AVERAGE(H26,O26,V26),AVERAGE(H26,O26,V26,AC26)))), 0.5)</f>
        <v/>
      </c>
      <c r="AE26">
        <f>IF(AD26&gt;=6,"Aprovado","Exame")</f>
        <v/>
      </c>
    </row>
    <row r="27">
      <c r="A27" t="inlineStr">
        <is>
          <t>JOSÉ EDUARDO NEVES DA SILVA</t>
        </is>
      </c>
      <c r="H27">
        <f>IFERROR(MIN(MROUND((((LARGE(B27:D27,1)+LARGE(B27:D27,2)+E27)/3)+F27+G27), 0.5), 10), 0)</f>
        <v/>
      </c>
      <c r="O27">
        <f>IFERROR(MIN(MROUND((((LARGE(I27:K27,1)+LARGE(I27:K27,2)+L27)/3)+M27+N27), 0.5), 10), 0)</f>
        <v/>
      </c>
      <c r="V27">
        <f>IFERROR(MIN(MROUND((((LARGE(P27:R27,1)+LARGE(P27:R27,2)+S27)/3)+T27+U27), 0.5), 10), 0)</f>
        <v/>
      </c>
      <c r="AC27">
        <f>IFERROR(MIN(MROUND((((LARGE(W27:Y27,1)+LARGE(W27:Y27,2)+Z27)/3)+AA27+AB27), 0.5), 10), 0)</f>
        <v/>
      </c>
      <c r="AD27">
        <f>MROUND(IF(O27=0,H27,IF(V27=0,AVERAGE(H27,O27),IF(AC27=0,AVERAGE(H27,O27,V27),AVERAGE(H27,O27,V27,AC27)))), 0.5)</f>
        <v/>
      </c>
      <c r="AE27">
        <f>IF(AD27&gt;=6,"Aprovado","Exame")</f>
        <v/>
      </c>
    </row>
    <row r="28">
      <c r="A28" t="inlineStr">
        <is>
          <t>KAMYLLY MARCELLY FLORENTIN LEAL</t>
        </is>
      </c>
      <c r="H28">
        <f>IFERROR(MIN(MROUND((((LARGE(B28:D28,1)+LARGE(B28:D28,2)+E28)/3)+F28+G28), 0.5), 10), 0)</f>
        <v/>
      </c>
      <c r="O28">
        <f>IFERROR(MIN(MROUND((((LARGE(I28:K28,1)+LARGE(I28:K28,2)+L28)/3)+M28+N28), 0.5), 10), 0)</f>
        <v/>
      </c>
      <c r="V28">
        <f>IFERROR(MIN(MROUND((((LARGE(P28:R28,1)+LARGE(P28:R28,2)+S28)/3)+T28+U28), 0.5), 10), 0)</f>
        <v/>
      </c>
      <c r="AC28">
        <f>IFERROR(MIN(MROUND((((LARGE(W28:Y28,1)+LARGE(W28:Y28,2)+Z28)/3)+AA28+AB28), 0.5), 10), 0)</f>
        <v/>
      </c>
      <c r="AD28">
        <f>MROUND(IF(O28=0,H28,IF(V28=0,AVERAGE(H28,O28),IF(AC28=0,AVERAGE(H28,O28,V28),AVERAGE(H28,O28,V28,AC28)))), 0.5)</f>
        <v/>
      </c>
      <c r="AE28">
        <f>IF(AD28&gt;=6,"Aprovado","Exame")</f>
        <v/>
      </c>
    </row>
    <row r="29">
      <c r="A29" t="inlineStr">
        <is>
          <t>LARA AYUMI ONISHI MIRANDA</t>
        </is>
      </c>
      <c r="H29">
        <f>IFERROR(MIN(MROUND((((LARGE(B29:D29,1)+LARGE(B29:D29,2)+E29)/3)+F29+G29), 0.5), 10), 0)</f>
        <v/>
      </c>
      <c r="O29">
        <f>IFERROR(MIN(MROUND((((LARGE(I29:K29,1)+LARGE(I29:K29,2)+L29)/3)+M29+N29), 0.5), 10), 0)</f>
        <v/>
      </c>
      <c r="V29">
        <f>IFERROR(MIN(MROUND((((LARGE(P29:R29,1)+LARGE(P29:R29,2)+S29)/3)+T29+U29), 0.5), 10), 0)</f>
        <v/>
      </c>
      <c r="AC29">
        <f>IFERROR(MIN(MROUND((((LARGE(W29:Y29,1)+LARGE(W29:Y29,2)+Z29)/3)+AA29+AB29), 0.5), 10), 0)</f>
        <v/>
      </c>
      <c r="AD29">
        <f>MROUND(IF(O29=0,H29,IF(V29=0,AVERAGE(H29,O29),IF(AC29=0,AVERAGE(H29,O29,V29),AVERAGE(H29,O29,V29,AC29)))), 0.5)</f>
        <v/>
      </c>
      <c r="AE29">
        <f>IF(AD29&gt;=6,"Aprovado","Exame")</f>
        <v/>
      </c>
    </row>
    <row r="30">
      <c r="A30" t="inlineStr">
        <is>
          <t>LARA VITÓRIA COELHO SANCHES</t>
        </is>
      </c>
      <c r="H30">
        <f>IFERROR(MIN(MROUND((((LARGE(B30:D30,1)+LARGE(B30:D30,2)+E30)/3)+F30+G30), 0.5), 10), 0)</f>
        <v/>
      </c>
      <c r="O30">
        <f>IFERROR(MIN(MROUND((((LARGE(I30:K30,1)+LARGE(I30:K30,2)+L30)/3)+M30+N30), 0.5), 10), 0)</f>
        <v/>
      </c>
      <c r="V30">
        <f>IFERROR(MIN(MROUND((((LARGE(P30:R30,1)+LARGE(P30:R30,2)+S30)/3)+T30+U30), 0.5), 10), 0)</f>
        <v/>
      </c>
      <c r="AC30">
        <f>IFERROR(MIN(MROUND((((LARGE(W30:Y30,1)+LARGE(W30:Y30,2)+Z30)/3)+AA30+AB30), 0.5), 10), 0)</f>
        <v/>
      </c>
      <c r="AD30">
        <f>MROUND(IF(O30=0,H30,IF(V30=0,AVERAGE(H30,O30),IF(AC30=0,AVERAGE(H30,O30,V30),AVERAGE(H30,O30,V30,AC30)))), 0.5)</f>
        <v/>
      </c>
      <c r="AE30">
        <f>IF(AD30&gt;=6,"Aprovado","Exame")</f>
        <v/>
      </c>
    </row>
    <row r="31">
      <c r="A31" t="inlineStr">
        <is>
          <t>LIA MARYELLEN ESPINDOLA ROCHA</t>
        </is>
      </c>
      <c r="H31">
        <f>IFERROR(MIN(MROUND((((LARGE(B31:D31,1)+LARGE(B31:D31,2)+E31)/3)+F31+G31), 0.5), 10), 0)</f>
        <v/>
      </c>
      <c r="O31">
        <f>IFERROR(MIN(MROUND((((LARGE(I31:K31,1)+LARGE(I31:K31,2)+L31)/3)+M31+N31), 0.5), 10), 0)</f>
        <v/>
      </c>
      <c r="V31">
        <f>IFERROR(MIN(MROUND((((LARGE(P31:R31,1)+LARGE(P31:R31,2)+S31)/3)+T31+U31), 0.5), 10), 0)</f>
        <v/>
      </c>
      <c r="AC31">
        <f>IFERROR(MIN(MROUND((((LARGE(W31:Y31,1)+LARGE(W31:Y31,2)+Z31)/3)+AA31+AB31), 0.5), 10), 0)</f>
        <v/>
      </c>
      <c r="AD31">
        <f>MROUND(IF(O31=0,H31,IF(V31=0,AVERAGE(H31,O31),IF(AC31=0,AVERAGE(H31,O31,V31),AVERAGE(H31,O31,V31,AC31)))), 0.5)</f>
        <v/>
      </c>
      <c r="AE31">
        <f>IF(AD31&gt;=6,"Aprovado","Exame")</f>
        <v/>
      </c>
    </row>
    <row r="32">
      <c r="A32" t="inlineStr">
        <is>
          <t>LUCAS DE OLIVEIRA PEREIRA (T-10/03/2026)</t>
        </is>
      </c>
      <c r="H32">
        <f>IFERROR(MIN(MROUND((((LARGE(B32:D32,1)+LARGE(B32:D32,2)+E32)/3)+F32+G32), 0.5), 10), 0)</f>
        <v/>
      </c>
      <c r="O32">
        <f>IFERROR(MIN(MROUND((((LARGE(I32:K32,1)+LARGE(I32:K32,2)+L32)/3)+M32+N32), 0.5), 10), 0)</f>
        <v/>
      </c>
      <c r="V32">
        <f>IFERROR(MIN(MROUND((((LARGE(P32:R32,1)+LARGE(P32:R32,2)+S32)/3)+T32+U32), 0.5), 10), 0)</f>
        <v/>
      </c>
      <c r="AC32">
        <f>IFERROR(MIN(MROUND((((LARGE(W32:Y32,1)+LARGE(W32:Y32,2)+Z32)/3)+AA32+AB32), 0.5), 10), 0)</f>
        <v/>
      </c>
      <c r="AD32">
        <f>MROUND(IF(O32=0,H32,IF(V32=0,AVERAGE(H32,O32),IF(AC32=0,AVERAGE(H32,O32,V32),AVERAGE(H32,O32,V32,AC32)))), 0.5)</f>
        <v/>
      </c>
      <c r="AE32">
        <f>IF(AD32&gt;=6,"Aprovado","Exame")</f>
        <v/>
      </c>
    </row>
    <row r="33">
      <c r="A33" t="inlineStr">
        <is>
          <t>LUCAS LACERDA PASSOS</t>
        </is>
      </c>
      <c r="H33">
        <f>IFERROR(MIN(MROUND((((LARGE(B33:D33,1)+LARGE(B33:D33,2)+E33)/3)+F33+G33), 0.5), 10), 0)</f>
        <v/>
      </c>
      <c r="O33">
        <f>IFERROR(MIN(MROUND((((LARGE(I33:K33,1)+LARGE(I33:K33,2)+L33)/3)+M33+N33), 0.5), 10), 0)</f>
        <v/>
      </c>
      <c r="V33">
        <f>IFERROR(MIN(MROUND((((LARGE(P33:R33,1)+LARGE(P33:R33,2)+S33)/3)+T33+U33), 0.5), 10), 0)</f>
        <v/>
      </c>
      <c r="AC33">
        <f>IFERROR(MIN(MROUND((((LARGE(W33:Y33,1)+LARGE(W33:Y33,2)+Z33)/3)+AA33+AB33), 0.5), 10), 0)</f>
        <v/>
      </c>
      <c r="AD33">
        <f>MROUND(IF(O33=0,H33,IF(V33=0,AVERAGE(H33,O33),IF(AC33=0,AVERAGE(H33,O33,V33),AVERAGE(H33,O33,V33,AC33)))), 0.5)</f>
        <v/>
      </c>
      <c r="AE33">
        <f>IF(AD33&gt;=6,"Aprovado","Exame")</f>
        <v/>
      </c>
    </row>
    <row r="34">
      <c r="A34" t="inlineStr">
        <is>
          <t>MELISSA DA SILVA FEITOZA</t>
        </is>
      </c>
      <c r="H34">
        <f>IFERROR(MIN(MROUND((((LARGE(B34:D34,1)+LARGE(B34:D34,2)+E34)/3)+F34+G34), 0.5), 10), 0)</f>
        <v/>
      </c>
      <c r="O34">
        <f>IFERROR(MIN(MROUND((((LARGE(I34:K34,1)+LARGE(I34:K34,2)+L34)/3)+M34+N34), 0.5), 10), 0)</f>
        <v/>
      </c>
      <c r="V34">
        <f>IFERROR(MIN(MROUND((((LARGE(P34:R34,1)+LARGE(P34:R34,2)+S34)/3)+T34+U34), 0.5), 10), 0)</f>
        <v/>
      </c>
      <c r="AC34">
        <f>IFERROR(MIN(MROUND((((LARGE(W34:Y34,1)+LARGE(W34:Y34,2)+Z34)/3)+AA34+AB34), 0.5), 10), 0)</f>
        <v/>
      </c>
      <c r="AD34">
        <f>MROUND(IF(O34=0,H34,IF(V34=0,AVERAGE(H34,O34),IF(AC34=0,AVERAGE(H34,O34,V34),AVERAGE(H34,O34,V34,AC34)))), 0.5)</f>
        <v/>
      </c>
      <c r="AE34">
        <f>IF(AD34&gt;=6,"Aprovado","Exame")</f>
        <v/>
      </c>
    </row>
    <row r="35">
      <c r="A35" t="inlineStr">
        <is>
          <t>NICOLLY FIGUEIREDO PECOIS</t>
        </is>
      </c>
      <c r="H35">
        <f>IFERROR(MIN(MROUND((((LARGE(B35:D35,1)+LARGE(B35:D35,2)+E35)/3)+F35+G35), 0.5), 10), 0)</f>
        <v/>
      </c>
      <c r="O35">
        <f>IFERROR(MIN(MROUND((((LARGE(I35:K35,1)+LARGE(I35:K35,2)+L35)/3)+M35+N35), 0.5), 10), 0)</f>
        <v/>
      </c>
      <c r="V35">
        <f>IFERROR(MIN(MROUND((((LARGE(P35:R35,1)+LARGE(P35:R35,2)+S35)/3)+T35+U35), 0.5), 10), 0)</f>
        <v/>
      </c>
      <c r="AC35">
        <f>IFERROR(MIN(MROUND((((LARGE(W35:Y35,1)+LARGE(W35:Y35,2)+Z35)/3)+AA35+AB35), 0.5), 10), 0)</f>
        <v/>
      </c>
      <c r="AD35">
        <f>MROUND(IF(O35=0,H35,IF(V35=0,AVERAGE(H35,O35),IF(AC35=0,AVERAGE(H35,O35,V35),AVERAGE(H35,O35,V35,AC35)))), 0.5)</f>
        <v/>
      </c>
      <c r="AE35">
        <f>IF(AD35&gt;=6,"Aprovado","Exame")</f>
        <v/>
      </c>
    </row>
    <row r="36">
      <c r="A36" t="inlineStr">
        <is>
          <t>RAIANY RIBEIRO DE SOUZA</t>
        </is>
      </c>
      <c r="H36">
        <f>IFERROR(MIN(MROUND((((LARGE(B36:D36,1)+LARGE(B36:D36,2)+E36)/3)+F36+G36), 0.5), 10), 0)</f>
        <v/>
      </c>
      <c r="O36">
        <f>IFERROR(MIN(MROUND((((LARGE(I36:K36,1)+LARGE(I36:K36,2)+L36)/3)+M36+N36), 0.5), 10), 0)</f>
        <v/>
      </c>
      <c r="V36">
        <f>IFERROR(MIN(MROUND((((LARGE(P36:R36,1)+LARGE(P36:R36,2)+S36)/3)+T36+U36), 0.5), 10), 0)</f>
        <v/>
      </c>
      <c r="AC36">
        <f>IFERROR(MIN(MROUND((((LARGE(W36:Y36,1)+LARGE(W36:Y36,2)+Z36)/3)+AA36+AB36), 0.5), 10), 0)</f>
        <v/>
      </c>
      <c r="AD36">
        <f>MROUND(IF(O36=0,H36,IF(V36=0,AVERAGE(H36,O36),IF(AC36=0,AVERAGE(H36,O36,V36),AVERAGE(H36,O36,V36,AC36)))), 0.5)</f>
        <v/>
      </c>
      <c r="AE36">
        <f>IF(AD36&gt;=6,"Aprovado","Exame")</f>
        <v/>
      </c>
    </row>
    <row r="37">
      <c r="A37" t="inlineStr">
        <is>
          <t>YASMIN PEREIRA SOUZA</t>
        </is>
      </c>
      <c r="H37">
        <f>IFERROR(MIN(MROUND((((LARGE(B37:D37,1)+LARGE(B37:D37,2)+E37)/3)+F37+G37), 0.5), 10), 0)</f>
        <v/>
      </c>
      <c r="O37">
        <f>IFERROR(MIN(MROUND((((LARGE(I37:K37,1)+LARGE(I37:K37,2)+L37)/3)+M37+N37), 0.5), 10), 0)</f>
        <v/>
      </c>
      <c r="V37">
        <f>IFERROR(MIN(MROUND((((LARGE(P37:R37,1)+LARGE(P37:R37,2)+S37)/3)+T37+U37), 0.5), 10), 0)</f>
        <v/>
      </c>
      <c r="AC37">
        <f>IFERROR(MIN(MROUND((((LARGE(W37:Y37,1)+LARGE(W37:Y37,2)+Z37)/3)+AA37+AB37), 0.5), 10), 0)</f>
        <v/>
      </c>
      <c r="AD37">
        <f>MROUND(IF(O37=0,H37,IF(V37=0,AVERAGE(H37,O37),IF(AC37=0,AVERAGE(H37,O37,V37),AVERAGE(H37,O37,V37,AC37)))), 0.5)</f>
        <v/>
      </c>
      <c r="AE37">
        <f>IF(AD37&gt;=6,"Aprovado","Exame")</f>
        <v/>
      </c>
    </row>
    <row r="38">
      <c r="A38" t="inlineStr">
        <is>
          <t>ISABELA SARTORIO DA SILVA</t>
        </is>
      </c>
      <c r="H38">
        <f>IFERROR(MIN(MROUND((((LARGE(B38:D38,1)+LARGE(B38:D38,2)+E38)/3)+F38+G38), 0.5), 10), 0)</f>
        <v/>
      </c>
      <c r="O38">
        <f>IFERROR(MIN(MROUND((((LARGE(I38:K38,1)+LARGE(I38:K38,2)+L38)/3)+M38+N38), 0.5), 10), 0)</f>
        <v/>
      </c>
      <c r="V38">
        <f>IFERROR(MIN(MROUND((((LARGE(P38:R38,1)+LARGE(P38:R38,2)+S38)/3)+T38+U38), 0.5), 10), 0)</f>
        <v/>
      </c>
      <c r="AC38">
        <f>IFERROR(MIN(MROUND((((LARGE(W38:Y38,1)+LARGE(W38:Y38,2)+Z38)/3)+AA38+AB38), 0.5), 10), 0)</f>
        <v/>
      </c>
      <c r="AD38">
        <f>MROUND(IF(O38=0,H38,IF(V38=0,AVERAGE(H38,O38),IF(AC38=0,AVERAGE(H38,O38,V38),AVERAGE(H38,O38,V38,AC38)))), 0.5)</f>
        <v/>
      </c>
      <c r="AE38">
        <f>IF(AD38&gt;=6,"Aprovado","Exame")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N1_B1</t>
        </is>
      </c>
      <c r="C1" t="inlineStr">
        <is>
          <t>N2_B1</t>
        </is>
      </c>
      <c r="D1" t="inlineStr">
        <is>
          <t>N3_B1</t>
        </is>
      </c>
      <c r="E1" t="inlineStr">
        <is>
          <t>N4_B1</t>
        </is>
      </c>
      <c r="F1" t="inlineStr">
        <is>
          <t>Atv1_B1</t>
        </is>
      </c>
      <c r="G1" t="inlineStr">
        <is>
          <t>Atv2_B1</t>
        </is>
      </c>
      <c r="H1" t="inlineStr">
        <is>
          <t>Media_B1</t>
        </is>
      </c>
      <c r="I1" t="inlineStr">
        <is>
          <t>N1_B2</t>
        </is>
      </c>
      <c r="J1" t="inlineStr">
        <is>
          <t>N2_B2</t>
        </is>
      </c>
      <c r="K1" t="inlineStr">
        <is>
          <t>N3_B2</t>
        </is>
      </c>
      <c r="L1" t="inlineStr">
        <is>
          <t>N4_B2</t>
        </is>
      </c>
      <c r="M1" t="inlineStr">
        <is>
          <t>Atv1_B2</t>
        </is>
      </c>
      <c r="N1" t="inlineStr">
        <is>
          <t>Atv2_B2</t>
        </is>
      </c>
      <c r="O1" t="inlineStr">
        <is>
          <t>Media_B2</t>
        </is>
      </c>
      <c r="P1" t="inlineStr">
        <is>
          <t>N1_B3</t>
        </is>
      </c>
      <c r="Q1" t="inlineStr">
        <is>
          <t>N2_B3</t>
        </is>
      </c>
      <c r="R1" t="inlineStr">
        <is>
          <t>N3_B3</t>
        </is>
      </c>
      <c r="S1" t="inlineStr">
        <is>
          <t>N4_B3</t>
        </is>
      </c>
      <c r="T1" t="inlineStr">
        <is>
          <t>Atv1_B3</t>
        </is>
      </c>
      <c r="U1" t="inlineStr">
        <is>
          <t>Atv2_B3</t>
        </is>
      </c>
      <c r="V1" t="inlineStr">
        <is>
          <t>Media_B3</t>
        </is>
      </c>
      <c r="W1" t="inlineStr">
        <is>
          <t>N1_B4</t>
        </is>
      </c>
      <c r="X1" t="inlineStr">
        <is>
          <t>N2_B4</t>
        </is>
      </c>
      <c r="Y1" t="inlineStr">
        <is>
          <t>N3_B4</t>
        </is>
      </c>
      <c r="Z1" t="inlineStr">
        <is>
          <t>N4_B4</t>
        </is>
      </c>
      <c r="AA1" t="inlineStr">
        <is>
          <t>Atv1_B4</t>
        </is>
      </c>
      <c r="AB1" t="inlineStr">
        <is>
          <t>Atv2_B4</t>
        </is>
      </c>
      <c r="AC1" t="inlineStr">
        <is>
          <t>Media_B4</t>
        </is>
      </c>
      <c r="AD1" t="inlineStr">
        <is>
          <t>Media_Anual</t>
        </is>
      </c>
      <c r="AE1" t="inlineStr">
        <is>
          <t>Status</t>
        </is>
      </c>
    </row>
    <row r="2">
      <c r="A2" t="inlineStr">
        <is>
          <t>ALEXANDRE DA COSTA BARBOSA</t>
        </is>
      </c>
      <c r="H2">
        <f>IFERROR(MIN(MROUND((((LARGE(B2:D2,1)+LARGE(B2:D2,2)+E2)/3)+F2+G2), 0.5), 10), 0)</f>
        <v/>
      </c>
      <c r="O2">
        <f>IFERROR(MIN(MROUND((((LARGE(I2:K2,1)+LARGE(I2:K2,2)+L2)/3)+M2+N2), 0.5), 10), 0)</f>
        <v/>
      </c>
      <c r="V2">
        <f>IFERROR(MIN(MROUND((((LARGE(P2:R2,1)+LARGE(P2:R2,2)+S2)/3)+T2+U2), 0.5), 10), 0)</f>
        <v/>
      </c>
      <c r="AC2">
        <f>IFERROR(MIN(MROUND((((LARGE(W2:Y2,1)+LARGE(W2:Y2,2)+Z2)/3)+AA2+AB2), 0.5), 10), 0)</f>
        <v/>
      </c>
      <c r="AD2">
        <f>MROUND(IF(O2=0,H2,IF(V2=0,AVERAGE(H2,O2),IF(AC2=0,AVERAGE(H2,O2,V2),AVERAGE(H2,O2,V2,AC2)))), 0.5)</f>
        <v/>
      </c>
      <c r="AE2">
        <f>IF(AD2&gt;=6,"Aprovado","Exame")</f>
        <v/>
      </c>
    </row>
    <row r="3">
      <c r="A3" t="inlineStr">
        <is>
          <t>ANA JULIA GOMES CORSINO SILVA</t>
        </is>
      </c>
      <c r="H3">
        <f>IFERROR(MIN(MROUND((((LARGE(B3:D3,1)+LARGE(B3:D3,2)+E3)/3)+F3+G3), 0.5), 10), 0)</f>
        <v/>
      </c>
      <c r="O3">
        <f>IFERROR(MIN(MROUND((((LARGE(I3:K3,1)+LARGE(I3:K3,2)+L3)/3)+M3+N3), 0.5), 10), 0)</f>
        <v/>
      </c>
      <c r="V3">
        <f>IFERROR(MIN(MROUND((((LARGE(P3:R3,1)+LARGE(P3:R3,2)+S3)/3)+T3+U3), 0.5), 10), 0)</f>
        <v/>
      </c>
      <c r="AC3">
        <f>IFERROR(MIN(MROUND((((LARGE(W3:Y3,1)+LARGE(W3:Y3,2)+Z3)/3)+AA3+AB3), 0.5), 10), 0)</f>
        <v/>
      </c>
      <c r="AD3">
        <f>MROUND(IF(O3=0,H3,IF(V3=0,AVERAGE(H3,O3),IF(AC3=0,AVERAGE(H3,O3,V3),AVERAGE(H3,O3,V3,AC3)))), 0.5)</f>
        <v/>
      </c>
      <c r="AE3">
        <f>IF(AD3&gt;=6,"Aprovado","Exame")</f>
        <v/>
      </c>
    </row>
    <row r="4">
      <c r="A4" t="inlineStr">
        <is>
          <t>ANDRÉ DE ALMEIDA MATIAS</t>
        </is>
      </c>
      <c r="H4">
        <f>IFERROR(MIN(MROUND((((LARGE(B4:D4,1)+LARGE(B4:D4,2)+E4)/3)+F4+G4), 0.5), 10), 0)</f>
        <v/>
      </c>
      <c r="O4">
        <f>IFERROR(MIN(MROUND((((LARGE(I4:K4,1)+LARGE(I4:K4,2)+L4)/3)+M4+N4), 0.5), 10), 0)</f>
        <v/>
      </c>
      <c r="V4">
        <f>IFERROR(MIN(MROUND((((LARGE(P4:R4,1)+LARGE(P4:R4,2)+S4)/3)+T4+U4), 0.5), 10), 0)</f>
        <v/>
      </c>
      <c r="AC4">
        <f>IFERROR(MIN(MROUND((((LARGE(W4:Y4,1)+LARGE(W4:Y4,2)+Z4)/3)+AA4+AB4), 0.5), 10), 0)</f>
        <v/>
      </c>
      <c r="AD4">
        <f>MROUND(IF(O4=0,H4,IF(V4=0,AVERAGE(H4,O4),IF(AC4=0,AVERAGE(H4,O4,V4),AVERAGE(H4,O4,V4,AC4)))), 0.5)</f>
        <v/>
      </c>
      <c r="AE4">
        <f>IF(AD4&gt;=6,"Aprovado","Exame")</f>
        <v/>
      </c>
    </row>
    <row r="5">
      <c r="A5" t="inlineStr">
        <is>
          <t>ARTHUR DA SILVA FERREIRA</t>
        </is>
      </c>
      <c r="H5">
        <f>IFERROR(MIN(MROUND((((LARGE(B5:D5,1)+LARGE(B5:D5,2)+E5)/3)+F5+G5), 0.5), 10), 0)</f>
        <v/>
      </c>
      <c r="O5">
        <f>IFERROR(MIN(MROUND((((LARGE(I5:K5,1)+LARGE(I5:K5,2)+L5)/3)+M5+N5), 0.5), 10), 0)</f>
        <v/>
      </c>
      <c r="V5">
        <f>IFERROR(MIN(MROUND((((LARGE(P5:R5,1)+LARGE(P5:R5,2)+S5)/3)+T5+U5), 0.5), 10), 0)</f>
        <v/>
      </c>
      <c r="AC5">
        <f>IFERROR(MIN(MROUND((((LARGE(W5:Y5,1)+LARGE(W5:Y5,2)+Z5)/3)+AA5+AB5), 0.5), 10), 0)</f>
        <v/>
      </c>
      <c r="AD5">
        <f>MROUND(IF(O5=0,H5,IF(V5=0,AVERAGE(H5,O5),IF(AC5=0,AVERAGE(H5,O5,V5),AVERAGE(H5,O5,V5,AC5)))), 0.5)</f>
        <v/>
      </c>
      <c r="AE5">
        <f>IF(AD5&gt;=6,"Aprovado","Exame")</f>
        <v/>
      </c>
    </row>
    <row r="6">
      <c r="A6" t="inlineStr">
        <is>
          <t>BEATRIZ ANDRADE DOS SANTOS</t>
        </is>
      </c>
      <c r="H6">
        <f>IFERROR(MIN(MROUND((((LARGE(B6:D6,1)+LARGE(B6:D6,2)+E6)/3)+F6+G6), 0.5), 10), 0)</f>
        <v/>
      </c>
      <c r="O6">
        <f>IFERROR(MIN(MROUND((((LARGE(I6:K6,1)+LARGE(I6:K6,2)+L6)/3)+M6+N6), 0.5), 10), 0)</f>
        <v/>
      </c>
      <c r="V6">
        <f>IFERROR(MIN(MROUND((((LARGE(P6:R6,1)+LARGE(P6:R6,2)+S6)/3)+T6+U6), 0.5), 10), 0)</f>
        <v/>
      </c>
      <c r="AC6">
        <f>IFERROR(MIN(MROUND((((LARGE(W6:Y6,1)+LARGE(W6:Y6,2)+Z6)/3)+AA6+AB6), 0.5), 10), 0)</f>
        <v/>
      </c>
      <c r="AD6">
        <f>MROUND(IF(O6=0,H6,IF(V6=0,AVERAGE(H6,O6),IF(AC6=0,AVERAGE(H6,O6,V6),AVERAGE(H6,O6,V6,AC6)))), 0.5)</f>
        <v/>
      </c>
      <c r="AE6">
        <f>IF(AD6&gt;=6,"Aprovado","Exame")</f>
        <v/>
      </c>
    </row>
    <row r="7">
      <c r="A7" t="inlineStr">
        <is>
          <t>CARLOS EDUARDO FAGUNDES LOPES</t>
        </is>
      </c>
      <c r="H7">
        <f>IFERROR(MIN(MROUND((((LARGE(B7:D7,1)+LARGE(B7:D7,2)+E7)/3)+F7+G7), 0.5), 10), 0)</f>
        <v/>
      </c>
      <c r="O7">
        <f>IFERROR(MIN(MROUND((((LARGE(I7:K7,1)+LARGE(I7:K7,2)+L7)/3)+M7+N7), 0.5), 10), 0)</f>
        <v/>
      </c>
      <c r="V7">
        <f>IFERROR(MIN(MROUND((((LARGE(P7:R7,1)+LARGE(P7:R7,2)+S7)/3)+T7+U7), 0.5), 10), 0)</f>
        <v/>
      </c>
      <c r="AC7">
        <f>IFERROR(MIN(MROUND((((LARGE(W7:Y7,1)+LARGE(W7:Y7,2)+Z7)/3)+AA7+AB7), 0.5), 10), 0)</f>
        <v/>
      </c>
      <c r="AD7">
        <f>MROUND(IF(O7=0,H7,IF(V7=0,AVERAGE(H7,O7),IF(AC7=0,AVERAGE(H7,O7,V7),AVERAGE(H7,O7,V7,AC7)))), 0.5)</f>
        <v/>
      </c>
      <c r="AE7">
        <f>IF(AD7&gt;=6,"Aprovado","Exame")</f>
        <v/>
      </c>
    </row>
    <row r="8">
      <c r="A8" t="inlineStr">
        <is>
          <t>EDUARDA MORAES DE PAIVA</t>
        </is>
      </c>
      <c r="H8">
        <f>IFERROR(MIN(MROUND((((LARGE(B8:D8,1)+LARGE(B8:D8,2)+E8)/3)+F8+G8), 0.5), 10), 0)</f>
        <v/>
      </c>
      <c r="O8">
        <f>IFERROR(MIN(MROUND((((LARGE(I8:K8,1)+LARGE(I8:K8,2)+L8)/3)+M8+N8), 0.5), 10), 0)</f>
        <v/>
      </c>
      <c r="V8">
        <f>IFERROR(MIN(MROUND((((LARGE(P8:R8,1)+LARGE(P8:R8,2)+S8)/3)+T8+U8), 0.5), 10), 0)</f>
        <v/>
      </c>
      <c r="AC8">
        <f>IFERROR(MIN(MROUND((((LARGE(W8:Y8,1)+LARGE(W8:Y8,2)+Z8)/3)+AA8+AB8), 0.5), 10), 0)</f>
        <v/>
      </c>
      <c r="AD8">
        <f>MROUND(IF(O8=0,H8,IF(V8=0,AVERAGE(H8,O8),IF(AC8=0,AVERAGE(H8,O8,V8),AVERAGE(H8,O8,V8,AC8)))), 0.5)</f>
        <v/>
      </c>
      <c r="AE8">
        <f>IF(AD8&gt;=6,"Aprovado","Exame")</f>
        <v/>
      </c>
    </row>
    <row r="9">
      <c r="A9" t="inlineStr">
        <is>
          <t>FERNANDA VIEIRA FERNANDES</t>
        </is>
      </c>
      <c r="H9">
        <f>IFERROR(MIN(MROUND((((LARGE(B9:D9,1)+LARGE(B9:D9,2)+E9)/3)+F9+G9), 0.5), 10), 0)</f>
        <v/>
      </c>
      <c r="O9">
        <f>IFERROR(MIN(MROUND((((LARGE(I9:K9,1)+LARGE(I9:K9,2)+L9)/3)+M9+N9), 0.5), 10), 0)</f>
        <v/>
      </c>
      <c r="V9">
        <f>IFERROR(MIN(MROUND((((LARGE(P9:R9,1)+LARGE(P9:R9,2)+S9)/3)+T9+U9), 0.5), 10), 0)</f>
        <v/>
      </c>
      <c r="AC9">
        <f>IFERROR(MIN(MROUND((((LARGE(W9:Y9,1)+LARGE(W9:Y9,2)+Z9)/3)+AA9+AB9), 0.5), 10), 0)</f>
        <v/>
      </c>
      <c r="AD9">
        <f>MROUND(IF(O9=0,H9,IF(V9=0,AVERAGE(H9,O9),IF(AC9=0,AVERAGE(H9,O9,V9),AVERAGE(H9,O9,V9,AC9)))), 0.5)</f>
        <v/>
      </c>
      <c r="AE9">
        <f>IF(AD9&gt;=6,"Aprovado","Exame")</f>
        <v/>
      </c>
    </row>
    <row r="10">
      <c r="A10" t="inlineStr">
        <is>
          <t>GILBERTO CURY GUIMARÃES BEGENA</t>
        </is>
      </c>
      <c r="H10">
        <f>IFERROR(MIN(MROUND((((LARGE(B10:D10,1)+LARGE(B10:D10,2)+E10)/3)+F10+G10), 0.5), 10), 0)</f>
        <v/>
      </c>
      <c r="O10">
        <f>IFERROR(MIN(MROUND((((LARGE(I10:K10,1)+LARGE(I10:K10,2)+L10)/3)+M10+N10), 0.5), 10), 0)</f>
        <v/>
      </c>
      <c r="V10">
        <f>IFERROR(MIN(MROUND((((LARGE(P10:R10,1)+LARGE(P10:R10,2)+S10)/3)+T10+U10), 0.5), 10), 0)</f>
        <v/>
      </c>
      <c r="AC10">
        <f>IFERROR(MIN(MROUND((((LARGE(W10:Y10,1)+LARGE(W10:Y10,2)+Z10)/3)+AA10+AB10), 0.5), 10), 0)</f>
        <v/>
      </c>
      <c r="AD10">
        <f>MROUND(IF(O10=0,H10,IF(V10=0,AVERAGE(H10,O10),IF(AC10=0,AVERAGE(H10,O10,V10),AVERAGE(H10,O10,V10,AC10)))), 0.5)</f>
        <v/>
      </c>
      <c r="AE10">
        <f>IF(AD10&gt;=6,"Aprovado","Exame")</f>
        <v/>
      </c>
    </row>
    <row r="11">
      <c r="A11" t="inlineStr">
        <is>
          <t>HEROS VINICIUS ALMEIDA CABRAL DOS SANTOS CANDIDO</t>
        </is>
      </c>
      <c r="H11">
        <f>IFERROR(MIN(MROUND((((LARGE(B11:D11,1)+LARGE(B11:D11,2)+E11)/3)+F11+G11), 0.5), 10), 0)</f>
        <v/>
      </c>
      <c r="O11">
        <f>IFERROR(MIN(MROUND((((LARGE(I11:K11,1)+LARGE(I11:K11,2)+L11)/3)+M11+N11), 0.5), 10), 0)</f>
        <v/>
      </c>
      <c r="V11">
        <f>IFERROR(MIN(MROUND((((LARGE(P11:R11,1)+LARGE(P11:R11,2)+S11)/3)+T11+U11), 0.5), 10), 0)</f>
        <v/>
      </c>
      <c r="AC11">
        <f>IFERROR(MIN(MROUND((((LARGE(W11:Y11,1)+LARGE(W11:Y11,2)+Z11)/3)+AA11+AB11), 0.5), 10), 0)</f>
        <v/>
      </c>
      <c r="AD11">
        <f>MROUND(IF(O11=0,H11,IF(V11=0,AVERAGE(H11,O11),IF(AC11=0,AVERAGE(H11,O11,V11),AVERAGE(H11,O11,V11,AC11)))), 0.5)</f>
        <v/>
      </c>
      <c r="AE11">
        <f>IF(AD11&gt;=6,"Aprovado","Exame")</f>
        <v/>
      </c>
    </row>
    <row r="12">
      <c r="A12" t="inlineStr">
        <is>
          <t>ISABELA SARTORIO DA SILVA (RM-12/03/2026 para 3º Ano C -LGG)</t>
        </is>
      </c>
      <c r="H12">
        <f>IFERROR(MIN(MROUND((((LARGE(B12:D12,1)+LARGE(B12:D12,2)+E12)/3)+F12+G12), 0.5), 10), 0)</f>
        <v/>
      </c>
      <c r="O12">
        <f>IFERROR(MIN(MROUND((((LARGE(I12:K12,1)+LARGE(I12:K12,2)+L12)/3)+M12+N12), 0.5), 10), 0)</f>
        <v/>
      </c>
      <c r="V12">
        <f>IFERROR(MIN(MROUND((((LARGE(P12:R12,1)+LARGE(P12:R12,2)+S12)/3)+T12+U12), 0.5), 10), 0)</f>
        <v/>
      </c>
      <c r="AC12">
        <f>IFERROR(MIN(MROUND((((LARGE(W12:Y12,1)+LARGE(W12:Y12,2)+Z12)/3)+AA12+AB12), 0.5), 10), 0)</f>
        <v/>
      </c>
      <c r="AD12">
        <f>MROUND(IF(O12=0,H12,IF(V12=0,AVERAGE(H12,O12),IF(AC12=0,AVERAGE(H12,O12,V12),AVERAGE(H12,O12,V12,AC12)))), 0.5)</f>
        <v/>
      </c>
      <c r="AE12">
        <f>IF(AD12&gt;=6,"Aprovado","Exame")</f>
        <v/>
      </c>
    </row>
    <row r="13">
      <c r="A13" t="inlineStr">
        <is>
          <t>JOAQUIM CEMIN CAÇÃO</t>
        </is>
      </c>
      <c r="H13">
        <f>IFERROR(MIN(MROUND((((LARGE(B13:D13,1)+LARGE(B13:D13,2)+E13)/3)+F13+G13), 0.5), 10), 0)</f>
        <v/>
      </c>
      <c r="O13">
        <f>IFERROR(MIN(MROUND((((LARGE(I13:K13,1)+LARGE(I13:K13,2)+L13)/3)+M13+N13), 0.5), 10), 0)</f>
        <v/>
      </c>
      <c r="V13">
        <f>IFERROR(MIN(MROUND((((LARGE(P13:R13,1)+LARGE(P13:R13,2)+S13)/3)+T13+U13), 0.5), 10), 0)</f>
        <v/>
      </c>
      <c r="AC13">
        <f>IFERROR(MIN(MROUND((((LARGE(W13:Y13,1)+LARGE(W13:Y13,2)+Z13)/3)+AA13+AB13), 0.5), 10), 0)</f>
        <v/>
      </c>
      <c r="AD13">
        <f>MROUND(IF(O13=0,H13,IF(V13=0,AVERAGE(H13,O13),IF(AC13=0,AVERAGE(H13,O13,V13),AVERAGE(H13,O13,V13,AC13)))), 0.5)</f>
        <v/>
      </c>
      <c r="AE13">
        <f>IF(AD13&gt;=6,"Aprovado","Exame")</f>
        <v/>
      </c>
    </row>
    <row r="14">
      <c r="A14" t="inlineStr">
        <is>
          <t>JORGE LUIS MACIEL TOLEDO</t>
        </is>
      </c>
      <c r="H14">
        <f>IFERROR(MIN(MROUND((((LARGE(B14:D14,1)+LARGE(B14:D14,2)+E14)/3)+F14+G14), 0.5), 10), 0)</f>
        <v/>
      </c>
      <c r="O14">
        <f>IFERROR(MIN(MROUND((((LARGE(I14:K14,1)+LARGE(I14:K14,2)+L14)/3)+M14+N14), 0.5), 10), 0)</f>
        <v/>
      </c>
      <c r="V14">
        <f>IFERROR(MIN(MROUND((((LARGE(P14:R14,1)+LARGE(P14:R14,2)+S14)/3)+T14+U14), 0.5), 10), 0)</f>
        <v/>
      </c>
      <c r="AC14">
        <f>IFERROR(MIN(MROUND((((LARGE(W14:Y14,1)+LARGE(W14:Y14,2)+Z14)/3)+AA14+AB14), 0.5), 10), 0)</f>
        <v/>
      </c>
      <c r="AD14">
        <f>MROUND(IF(O14=0,H14,IF(V14=0,AVERAGE(H14,O14),IF(AC14=0,AVERAGE(H14,O14,V14),AVERAGE(H14,O14,V14,AC14)))), 0.5)</f>
        <v/>
      </c>
      <c r="AE14">
        <f>IF(AD14&gt;=6,"Aprovado","Exame")</f>
        <v/>
      </c>
    </row>
    <row r="15">
      <c r="A15" t="inlineStr">
        <is>
          <t>JOSÉ VICTOR ORTIZ PHELIPPE</t>
        </is>
      </c>
      <c r="H15">
        <f>IFERROR(MIN(MROUND((((LARGE(B15:D15,1)+LARGE(B15:D15,2)+E15)/3)+F15+G15), 0.5), 10), 0)</f>
        <v/>
      </c>
      <c r="O15">
        <f>IFERROR(MIN(MROUND((((LARGE(I15:K15,1)+LARGE(I15:K15,2)+L15)/3)+M15+N15), 0.5), 10), 0)</f>
        <v/>
      </c>
      <c r="V15">
        <f>IFERROR(MIN(MROUND((((LARGE(P15:R15,1)+LARGE(P15:R15,2)+S15)/3)+T15+U15), 0.5), 10), 0)</f>
        <v/>
      </c>
      <c r="AC15">
        <f>IFERROR(MIN(MROUND((((LARGE(W15:Y15,1)+LARGE(W15:Y15,2)+Z15)/3)+AA15+AB15), 0.5), 10), 0)</f>
        <v/>
      </c>
      <c r="AD15">
        <f>MROUND(IF(O15=0,H15,IF(V15=0,AVERAGE(H15,O15),IF(AC15=0,AVERAGE(H15,O15,V15),AVERAGE(H15,O15,V15,AC15)))), 0.5)</f>
        <v/>
      </c>
      <c r="AE15">
        <f>IF(AD15&gt;=6,"Aprovado","Exame")</f>
        <v/>
      </c>
    </row>
    <row r="16">
      <c r="A16" t="inlineStr">
        <is>
          <t>JULIA EDUARDA DE OLIVEIRA BRUM SCHER TAVARES</t>
        </is>
      </c>
      <c r="H16">
        <f>IFERROR(MIN(MROUND((((LARGE(B16:D16,1)+LARGE(B16:D16,2)+E16)/3)+F16+G16), 0.5), 10), 0)</f>
        <v/>
      </c>
      <c r="O16">
        <f>IFERROR(MIN(MROUND((((LARGE(I16:K16,1)+LARGE(I16:K16,2)+L16)/3)+M16+N16), 0.5), 10), 0)</f>
        <v/>
      </c>
      <c r="V16">
        <f>IFERROR(MIN(MROUND((((LARGE(P16:R16,1)+LARGE(P16:R16,2)+S16)/3)+T16+U16), 0.5), 10), 0)</f>
        <v/>
      </c>
      <c r="AC16">
        <f>IFERROR(MIN(MROUND((((LARGE(W16:Y16,1)+LARGE(W16:Y16,2)+Z16)/3)+AA16+AB16), 0.5), 10), 0)</f>
        <v/>
      </c>
      <c r="AD16">
        <f>MROUND(IF(O16=0,H16,IF(V16=0,AVERAGE(H16,O16),IF(AC16=0,AVERAGE(H16,O16,V16),AVERAGE(H16,O16,V16,AC16)))), 0.5)</f>
        <v/>
      </c>
      <c r="AE16">
        <f>IF(AD16&gt;=6,"Aprovado","Exame")</f>
        <v/>
      </c>
    </row>
    <row r="17">
      <c r="A17" t="inlineStr">
        <is>
          <t>KALLYL HÉBANO JARA DE SOUZA</t>
        </is>
      </c>
      <c r="H17">
        <f>IFERROR(MIN(MROUND((((LARGE(B17:D17,1)+LARGE(B17:D17,2)+E17)/3)+F17+G17), 0.5), 10), 0)</f>
        <v/>
      </c>
      <c r="O17">
        <f>IFERROR(MIN(MROUND((((LARGE(I17:K17,1)+LARGE(I17:K17,2)+L17)/3)+M17+N17), 0.5), 10), 0)</f>
        <v/>
      </c>
      <c r="V17">
        <f>IFERROR(MIN(MROUND((((LARGE(P17:R17,1)+LARGE(P17:R17,2)+S17)/3)+T17+U17), 0.5), 10), 0)</f>
        <v/>
      </c>
      <c r="AC17">
        <f>IFERROR(MIN(MROUND((((LARGE(W17:Y17,1)+LARGE(W17:Y17,2)+Z17)/3)+AA17+AB17), 0.5), 10), 0)</f>
        <v/>
      </c>
      <c r="AD17">
        <f>MROUND(IF(O17=0,H17,IF(V17=0,AVERAGE(H17,O17),IF(AC17=0,AVERAGE(H17,O17,V17),AVERAGE(H17,O17,V17,AC17)))), 0.5)</f>
        <v/>
      </c>
      <c r="AE17">
        <f>IF(AD17&gt;=6,"Aprovado","Exame")</f>
        <v/>
      </c>
    </row>
    <row r="18">
      <c r="A18" t="inlineStr">
        <is>
          <t>LAYANI ARAÚJO DE LIMA</t>
        </is>
      </c>
      <c r="H18">
        <f>IFERROR(MIN(MROUND((((LARGE(B18:D18,1)+LARGE(B18:D18,2)+E18)/3)+F18+G18), 0.5), 10), 0)</f>
        <v/>
      </c>
      <c r="O18">
        <f>IFERROR(MIN(MROUND((((LARGE(I18:K18,1)+LARGE(I18:K18,2)+L18)/3)+M18+N18), 0.5), 10), 0)</f>
        <v/>
      </c>
      <c r="V18">
        <f>IFERROR(MIN(MROUND((((LARGE(P18:R18,1)+LARGE(P18:R18,2)+S18)/3)+T18+U18), 0.5), 10), 0)</f>
        <v/>
      </c>
      <c r="AC18">
        <f>IFERROR(MIN(MROUND((((LARGE(W18:Y18,1)+LARGE(W18:Y18,2)+Z18)/3)+AA18+AB18), 0.5), 10), 0)</f>
        <v/>
      </c>
      <c r="AD18">
        <f>MROUND(IF(O18=0,H18,IF(V18=0,AVERAGE(H18,O18),IF(AC18=0,AVERAGE(H18,O18,V18),AVERAGE(H18,O18,V18,AC18)))), 0.5)</f>
        <v/>
      </c>
      <c r="AE18">
        <f>IF(AD18&gt;=6,"Aprovado","Exame")</f>
        <v/>
      </c>
    </row>
    <row r="19">
      <c r="A19" t="inlineStr">
        <is>
          <t>LETÍCIA RODRIGUES DE AQUINO LIMA</t>
        </is>
      </c>
      <c r="H19">
        <f>IFERROR(MIN(MROUND((((LARGE(B19:D19,1)+LARGE(B19:D19,2)+E19)/3)+F19+G19), 0.5), 10), 0)</f>
        <v/>
      </c>
      <c r="O19">
        <f>IFERROR(MIN(MROUND((((LARGE(I19:K19,1)+LARGE(I19:K19,2)+L19)/3)+M19+N19), 0.5), 10), 0)</f>
        <v/>
      </c>
      <c r="V19">
        <f>IFERROR(MIN(MROUND((((LARGE(P19:R19,1)+LARGE(P19:R19,2)+S19)/3)+T19+U19), 0.5), 10), 0)</f>
        <v/>
      </c>
      <c r="AC19">
        <f>IFERROR(MIN(MROUND((((LARGE(W19:Y19,1)+LARGE(W19:Y19,2)+Z19)/3)+AA19+AB19), 0.5), 10), 0)</f>
        <v/>
      </c>
      <c r="AD19">
        <f>MROUND(IF(O19=0,H19,IF(V19=0,AVERAGE(H19,O19),IF(AC19=0,AVERAGE(H19,O19,V19),AVERAGE(H19,O19,V19,AC19)))), 0.5)</f>
        <v/>
      </c>
      <c r="AE19">
        <f>IF(AD19&gt;=6,"Aprovado","Exame")</f>
        <v/>
      </c>
    </row>
    <row r="20">
      <c r="A20" t="inlineStr">
        <is>
          <t>MARIA LUIZA MARQUES MANGINI (RM-17/03/2026 para 3º Ano B -LGG)</t>
        </is>
      </c>
      <c r="H20">
        <f>IFERROR(MIN(MROUND((((LARGE(B20:D20,1)+LARGE(B20:D20,2)+E20)/3)+F20+G20), 0.5), 10), 0)</f>
        <v/>
      </c>
      <c r="O20">
        <f>IFERROR(MIN(MROUND((((LARGE(I20:K20,1)+LARGE(I20:K20,2)+L20)/3)+M20+N20), 0.5), 10), 0)</f>
        <v/>
      </c>
      <c r="V20">
        <f>IFERROR(MIN(MROUND((((LARGE(P20:R20,1)+LARGE(P20:R20,2)+S20)/3)+T20+U20), 0.5), 10), 0)</f>
        <v/>
      </c>
      <c r="AC20">
        <f>IFERROR(MIN(MROUND((((LARGE(W20:Y20,1)+LARGE(W20:Y20,2)+Z20)/3)+AA20+AB20), 0.5), 10), 0)</f>
        <v/>
      </c>
      <c r="AD20">
        <f>MROUND(IF(O20=0,H20,IF(V20=0,AVERAGE(H20,O20),IF(AC20=0,AVERAGE(H20,O20,V20),AVERAGE(H20,O20,V20,AC20)))), 0.5)</f>
        <v/>
      </c>
      <c r="AE20">
        <f>IF(AD20&gt;=6,"Aprovado","Exame")</f>
        <v/>
      </c>
    </row>
    <row r="21">
      <c r="A21" t="inlineStr">
        <is>
          <t>MARIA PAULA GOMES CORSINO SILVA</t>
        </is>
      </c>
      <c r="H21">
        <f>IFERROR(MIN(MROUND((((LARGE(B21:D21,1)+LARGE(B21:D21,2)+E21)/3)+F21+G21), 0.5), 10), 0)</f>
        <v/>
      </c>
      <c r="O21">
        <f>IFERROR(MIN(MROUND((((LARGE(I21:K21,1)+LARGE(I21:K21,2)+L21)/3)+M21+N21), 0.5), 10), 0)</f>
        <v/>
      </c>
      <c r="V21">
        <f>IFERROR(MIN(MROUND((((LARGE(P21:R21,1)+LARGE(P21:R21,2)+S21)/3)+T21+U21), 0.5), 10), 0)</f>
        <v/>
      </c>
      <c r="AC21">
        <f>IFERROR(MIN(MROUND((((LARGE(W21:Y21,1)+LARGE(W21:Y21,2)+Z21)/3)+AA21+AB21), 0.5), 10), 0)</f>
        <v/>
      </c>
      <c r="AD21">
        <f>MROUND(IF(O21=0,H21,IF(V21=0,AVERAGE(H21,O21),IF(AC21=0,AVERAGE(H21,O21,V21),AVERAGE(H21,O21,V21,AC21)))), 0.5)</f>
        <v/>
      </c>
      <c r="AE21">
        <f>IF(AD21&gt;=6,"Aprovado","Exame")</f>
        <v/>
      </c>
    </row>
    <row r="22">
      <c r="A22" t="inlineStr">
        <is>
          <t>MONIQUE BORGO VALENCIA (RM-11/03/2026 para 3º Ano A -LGG)</t>
        </is>
      </c>
      <c r="H22">
        <f>IFERROR(MIN(MROUND((((LARGE(B22:D22,1)+LARGE(B22:D22,2)+E22)/3)+F22+G22), 0.5), 10), 0)</f>
        <v/>
      </c>
      <c r="O22">
        <f>IFERROR(MIN(MROUND((((LARGE(I22:K22,1)+LARGE(I22:K22,2)+L22)/3)+M22+N22), 0.5), 10), 0)</f>
        <v/>
      </c>
      <c r="V22">
        <f>IFERROR(MIN(MROUND((((LARGE(P22:R22,1)+LARGE(P22:R22,2)+S22)/3)+T22+U22), 0.5), 10), 0)</f>
        <v/>
      </c>
      <c r="AC22">
        <f>IFERROR(MIN(MROUND((((LARGE(W22:Y22,1)+LARGE(W22:Y22,2)+Z22)/3)+AA22+AB22), 0.5), 10), 0)</f>
        <v/>
      </c>
      <c r="AD22">
        <f>MROUND(IF(O22=0,H22,IF(V22=0,AVERAGE(H22,O22),IF(AC22=0,AVERAGE(H22,O22,V22),AVERAGE(H22,O22,V22,AC22)))), 0.5)</f>
        <v/>
      </c>
      <c r="AE22">
        <f>IF(AD22&gt;=6,"Aprovado","Exame")</f>
        <v/>
      </c>
    </row>
    <row r="23">
      <c r="A23" t="inlineStr">
        <is>
          <t>NICOLLY DOMINGOS DE ARAUJO</t>
        </is>
      </c>
      <c r="H23">
        <f>IFERROR(MIN(MROUND((((LARGE(B23:D23,1)+LARGE(B23:D23,2)+E23)/3)+F23+G23), 0.5), 10), 0)</f>
        <v/>
      </c>
      <c r="O23">
        <f>IFERROR(MIN(MROUND((((LARGE(I23:K23,1)+LARGE(I23:K23,2)+L23)/3)+M23+N23), 0.5), 10), 0)</f>
        <v/>
      </c>
      <c r="V23">
        <f>IFERROR(MIN(MROUND((((LARGE(P23:R23,1)+LARGE(P23:R23,2)+S23)/3)+T23+U23), 0.5), 10), 0)</f>
        <v/>
      </c>
      <c r="AC23">
        <f>IFERROR(MIN(MROUND((((LARGE(W23:Y23,1)+LARGE(W23:Y23,2)+Z23)/3)+AA23+AB23), 0.5), 10), 0)</f>
        <v/>
      </c>
      <c r="AD23">
        <f>MROUND(IF(O23=0,H23,IF(V23=0,AVERAGE(H23,O23),IF(AC23=0,AVERAGE(H23,O23,V23),AVERAGE(H23,O23,V23,AC23)))), 0.5)</f>
        <v/>
      </c>
      <c r="AE23">
        <f>IF(AD23&gt;=6,"Aprovado","Exame")</f>
        <v/>
      </c>
    </row>
    <row r="24">
      <c r="A24" t="inlineStr">
        <is>
          <t>OTÁVIO BRAGA DIONIZIO MARTINS</t>
        </is>
      </c>
      <c r="H24">
        <f>IFERROR(MIN(MROUND((((LARGE(B24:D24,1)+LARGE(B24:D24,2)+E24)/3)+F24+G24), 0.5), 10), 0)</f>
        <v/>
      </c>
      <c r="O24">
        <f>IFERROR(MIN(MROUND((((LARGE(I24:K24,1)+LARGE(I24:K24,2)+L24)/3)+M24+N24), 0.5), 10), 0)</f>
        <v/>
      </c>
      <c r="V24">
        <f>IFERROR(MIN(MROUND((((LARGE(P24:R24,1)+LARGE(P24:R24,2)+S24)/3)+T24+U24), 0.5), 10), 0)</f>
        <v/>
      </c>
      <c r="AC24">
        <f>IFERROR(MIN(MROUND((((LARGE(W24:Y24,1)+LARGE(W24:Y24,2)+Z24)/3)+AA24+AB24), 0.5), 10), 0)</f>
        <v/>
      </c>
      <c r="AD24">
        <f>MROUND(IF(O24=0,H24,IF(V24=0,AVERAGE(H24,O24),IF(AC24=0,AVERAGE(H24,O24,V24),AVERAGE(H24,O24,V24,AC24)))), 0.5)</f>
        <v/>
      </c>
      <c r="AE24">
        <f>IF(AD24&gt;=6,"Aprovado","Exame")</f>
        <v/>
      </c>
    </row>
    <row r="25">
      <c r="A25" t="inlineStr">
        <is>
          <t>PAULO RICARDO BARBOSA PINHEIRO</t>
        </is>
      </c>
      <c r="H25">
        <f>IFERROR(MIN(MROUND((((LARGE(B25:D25,1)+LARGE(B25:D25,2)+E25)/3)+F25+G25), 0.5), 10), 0)</f>
        <v/>
      </c>
      <c r="O25">
        <f>IFERROR(MIN(MROUND((((LARGE(I25:K25,1)+LARGE(I25:K25,2)+L25)/3)+M25+N25), 0.5), 10), 0)</f>
        <v/>
      </c>
      <c r="V25">
        <f>IFERROR(MIN(MROUND((((LARGE(P25:R25,1)+LARGE(P25:R25,2)+S25)/3)+T25+U25), 0.5), 10), 0)</f>
        <v/>
      </c>
      <c r="AC25">
        <f>IFERROR(MIN(MROUND((((LARGE(W25:Y25,1)+LARGE(W25:Y25,2)+Z25)/3)+AA25+AB25), 0.5), 10), 0)</f>
        <v/>
      </c>
      <c r="AD25">
        <f>MROUND(IF(O25=0,H25,IF(V25=0,AVERAGE(H25,O25),IF(AC25=0,AVERAGE(H25,O25,V25),AVERAGE(H25,O25,V25,AC25)))), 0.5)</f>
        <v/>
      </c>
      <c r="AE25">
        <f>IF(AD25&gt;=6,"Aprovado","Exame")</f>
        <v/>
      </c>
    </row>
    <row r="26">
      <c r="A26" t="inlineStr">
        <is>
          <t>PEDRO HENRIQUE SILVA DE OLIVEIRA</t>
        </is>
      </c>
      <c r="H26">
        <f>IFERROR(MIN(MROUND((((LARGE(B26:D26,1)+LARGE(B26:D26,2)+E26)/3)+F26+G26), 0.5), 10), 0)</f>
        <v/>
      </c>
      <c r="O26">
        <f>IFERROR(MIN(MROUND((((LARGE(I26:K26,1)+LARGE(I26:K26,2)+L26)/3)+M26+N26), 0.5), 10), 0)</f>
        <v/>
      </c>
      <c r="V26">
        <f>IFERROR(MIN(MROUND((((LARGE(P26:R26,1)+LARGE(P26:R26,2)+S26)/3)+T26+U26), 0.5), 10), 0)</f>
        <v/>
      </c>
      <c r="AC26">
        <f>IFERROR(MIN(MROUND((((LARGE(W26:Y26,1)+LARGE(W26:Y26,2)+Z26)/3)+AA26+AB26), 0.5), 10), 0)</f>
        <v/>
      </c>
      <c r="AD26">
        <f>MROUND(IF(O26=0,H26,IF(V26=0,AVERAGE(H26,O26),IF(AC26=0,AVERAGE(H26,O26,V26),AVERAGE(H26,O26,V26,AC26)))), 0.5)</f>
        <v/>
      </c>
      <c r="AE26">
        <f>IF(AD26&gt;=6,"Aprovado","Exame")</f>
        <v/>
      </c>
    </row>
    <row r="27">
      <c r="A27" t="inlineStr">
        <is>
          <t>PIETRO QUINTANA (T-10/03/2026)</t>
        </is>
      </c>
      <c r="H27">
        <f>IFERROR(MIN(MROUND((((LARGE(B27:D27,1)+LARGE(B27:D27,2)+E27)/3)+F27+G27), 0.5), 10), 0)</f>
        <v/>
      </c>
      <c r="O27">
        <f>IFERROR(MIN(MROUND((((LARGE(I27:K27,1)+LARGE(I27:K27,2)+L27)/3)+M27+N27), 0.5), 10), 0)</f>
        <v/>
      </c>
      <c r="V27">
        <f>IFERROR(MIN(MROUND((((LARGE(P27:R27,1)+LARGE(P27:R27,2)+S27)/3)+T27+U27), 0.5), 10), 0)</f>
        <v/>
      </c>
      <c r="AC27">
        <f>IFERROR(MIN(MROUND((((LARGE(W27:Y27,1)+LARGE(W27:Y27,2)+Z27)/3)+AA27+AB27), 0.5), 10), 0)</f>
        <v/>
      </c>
      <c r="AD27">
        <f>MROUND(IF(O27=0,H27,IF(V27=0,AVERAGE(H27,O27),IF(AC27=0,AVERAGE(H27,O27,V27),AVERAGE(H27,O27,V27,AC27)))), 0.5)</f>
        <v/>
      </c>
      <c r="AE27">
        <f>IF(AD27&gt;=6,"Aprovado","Exame")</f>
        <v/>
      </c>
    </row>
    <row r="28">
      <c r="A28" t="inlineStr">
        <is>
          <t>RAKEL BARBOSA DA SILVA</t>
        </is>
      </c>
      <c r="H28">
        <f>IFERROR(MIN(MROUND((((LARGE(B28:D28,1)+LARGE(B28:D28,2)+E28)/3)+F28+G28), 0.5), 10), 0)</f>
        <v/>
      </c>
      <c r="O28">
        <f>IFERROR(MIN(MROUND((((LARGE(I28:K28,1)+LARGE(I28:K28,2)+L28)/3)+M28+N28), 0.5), 10), 0)</f>
        <v/>
      </c>
      <c r="V28">
        <f>IFERROR(MIN(MROUND((((LARGE(P28:R28,1)+LARGE(P28:R28,2)+S28)/3)+T28+U28), 0.5), 10), 0)</f>
        <v/>
      </c>
      <c r="AC28">
        <f>IFERROR(MIN(MROUND((((LARGE(W28:Y28,1)+LARGE(W28:Y28,2)+Z28)/3)+AA28+AB28), 0.5), 10), 0)</f>
        <v/>
      </c>
      <c r="AD28">
        <f>MROUND(IF(O28=0,H28,IF(V28=0,AVERAGE(H28,O28),IF(AC28=0,AVERAGE(H28,O28,V28),AVERAGE(H28,O28,V28,AC28)))), 0.5)</f>
        <v/>
      </c>
      <c r="AE28">
        <f>IF(AD28&gt;=6,"Aprovado","Exame")</f>
        <v/>
      </c>
    </row>
    <row r="29">
      <c r="A29" t="inlineStr">
        <is>
          <t>RIQUELME BORDES BRANDÃO</t>
        </is>
      </c>
      <c r="H29">
        <f>IFERROR(MIN(MROUND((((LARGE(B29:D29,1)+LARGE(B29:D29,2)+E29)/3)+F29+G29), 0.5), 10), 0)</f>
        <v/>
      </c>
      <c r="O29">
        <f>IFERROR(MIN(MROUND((((LARGE(I29:K29,1)+LARGE(I29:K29,2)+L29)/3)+M29+N29), 0.5), 10), 0)</f>
        <v/>
      </c>
      <c r="V29">
        <f>IFERROR(MIN(MROUND((((LARGE(P29:R29,1)+LARGE(P29:R29,2)+S29)/3)+T29+U29), 0.5), 10), 0)</f>
        <v/>
      </c>
      <c r="AC29">
        <f>IFERROR(MIN(MROUND((((LARGE(W29:Y29,1)+LARGE(W29:Y29,2)+Z29)/3)+AA29+AB29), 0.5), 10), 0)</f>
        <v/>
      </c>
      <c r="AD29">
        <f>MROUND(IF(O29=0,H29,IF(V29=0,AVERAGE(H29,O29),IF(AC29=0,AVERAGE(H29,O29,V29),AVERAGE(H29,O29,V29,AC29)))), 0.5)</f>
        <v/>
      </c>
      <c r="AE29">
        <f>IF(AD29&gt;=6,"Aprovado","Exame")</f>
        <v/>
      </c>
    </row>
    <row r="30">
      <c r="A30" t="inlineStr">
        <is>
          <t>THIAGO DOS SANTOS NOGUEIRA FILHO</t>
        </is>
      </c>
      <c r="H30">
        <f>IFERROR(MIN(MROUND((((LARGE(B30:D30,1)+LARGE(B30:D30,2)+E30)/3)+F30+G30), 0.5), 10), 0)</f>
        <v/>
      </c>
      <c r="O30">
        <f>IFERROR(MIN(MROUND((((LARGE(I30:K30,1)+LARGE(I30:K30,2)+L30)/3)+M30+N30), 0.5), 10), 0)</f>
        <v/>
      </c>
      <c r="V30">
        <f>IFERROR(MIN(MROUND((((LARGE(P30:R30,1)+LARGE(P30:R30,2)+S30)/3)+T30+U30), 0.5), 10), 0)</f>
        <v/>
      </c>
      <c r="AC30">
        <f>IFERROR(MIN(MROUND((((LARGE(W30:Y30,1)+LARGE(W30:Y30,2)+Z30)/3)+AA30+AB30), 0.5), 10), 0)</f>
        <v/>
      </c>
      <c r="AD30">
        <f>MROUND(IF(O30=0,H30,IF(V30=0,AVERAGE(H30,O30),IF(AC30=0,AVERAGE(H30,O30,V30),AVERAGE(H30,O30,V30,AC30)))), 0.5)</f>
        <v/>
      </c>
      <c r="AE30">
        <f>IF(AD30&gt;=6,"Aprovado","Exame")</f>
        <v/>
      </c>
    </row>
    <row r="31">
      <c r="A31" t="inlineStr">
        <is>
          <t>THIAGO GABELONI PEREZ BALBERDE</t>
        </is>
      </c>
      <c r="H31">
        <f>IFERROR(MIN(MROUND((((LARGE(B31:D31,1)+LARGE(B31:D31,2)+E31)/3)+F31+G31), 0.5), 10), 0)</f>
        <v/>
      </c>
      <c r="O31">
        <f>IFERROR(MIN(MROUND((((LARGE(I31:K31,1)+LARGE(I31:K31,2)+L31)/3)+M31+N31), 0.5), 10), 0)</f>
        <v/>
      </c>
      <c r="V31">
        <f>IFERROR(MIN(MROUND((((LARGE(P31:R31,1)+LARGE(P31:R31,2)+S31)/3)+T31+U31), 0.5), 10), 0)</f>
        <v/>
      </c>
      <c r="AC31">
        <f>IFERROR(MIN(MROUND((((LARGE(W31:Y31,1)+LARGE(W31:Y31,2)+Z31)/3)+AA31+AB31), 0.5), 10), 0)</f>
        <v/>
      </c>
      <c r="AD31">
        <f>MROUND(IF(O31=0,H31,IF(V31=0,AVERAGE(H31,O31),IF(AC31=0,AVERAGE(H31,O31,V31),AVERAGE(H31,O31,V31,AC31)))), 0.5)</f>
        <v/>
      </c>
      <c r="AE31">
        <f>IF(AD31&gt;=6,"Aprovado","Exame")</f>
        <v/>
      </c>
    </row>
    <row r="32">
      <c r="A32" t="inlineStr">
        <is>
          <t>VINÍCIUS MITZKO DE BRITO</t>
        </is>
      </c>
      <c r="H32">
        <f>IFERROR(MIN(MROUND((((LARGE(B32:D32,1)+LARGE(B32:D32,2)+E32)/3)+F32+G32), 0.5), 10), 0)</f>
        <v/>
      </c>
      <c r="O32">
        <f>IFERROR(MIN(MROUND((((LARGE(I32:K32,1)+LARGE(I32:K32,2)+L32)/3)+M32+N32), 0.5), 10), 0)</f>
        <v/>
      </c>
      <c r="V32">
        <f>IFERROR(MIN(MROUND((((LARGE(P32:R32,1)+LARGE(P32:R32,2)+S32)/3)+T32+U32), 0.5), 10), 0)</f>
        <v/>
      </c>
      <c r="AC32">
        <f>IFERROR(MIN(MROUND((((LARGE(W32:Y32,1)+LARGE(W32:Y32,2)+Z32)/3)+AA32+AB32), 0.5), 10), 0)</f>
        <v/>
      </c>
      <c r="AD32">
        <f>MROUND(IF(O32=0,H32,IF(V32=0,AVERAGE(H32,O32),IF(AC32=0,AVERAGE(H32,O32,V32),AVERAGE(H32,O32,V32,AC32)))), 0.5)</f>
        <v/>
      </c>
      <c r="AE32">
        <f>IF(AD32&gt;=6,"Aprovado","Exame")</f>
        <v/>
      </c>
    </row>
    <row r="33">
      <c r="A33" t="inlineStr">
        <is>
          <t>VITOR COSTA DAMAZIO</t>
        </is>
      </c>
      <c r="H33">
        <f>IFERROR(MIN(MROUND((((LARGE(B33:D33,1)+LARGE(B33:D33,2)+E33)/3)+F33+G33), 0.5), 10), 0)</f>
        <v/>
      </c>
      <c r="O33">
        <f>IFERROR(MIN(MROUND((((LARGE(I33:K33,1)+LARGE(I33:K33,2)+L33)/3)+M33+N33), 0.5), 10), 0)</f>
        <v/>
      </c>
      <c r="V33">
        <f>IFERROR(MIN(MROUND((((LARGE(P33:R33,1)+LARGE(P33:R33,2)+S33)/3)+T33+U33), 0.5), 10), 0)</f>
        <v/>
      </c>
      <c r="AC33">
        <f>IFERROR(MIN(MROUND((((LARGE(W33:Y33,1)+LARGE(W33:Y33,2)+Z33)/3)+AA33+AB33), 0.5), 10), 0)</f>
        <v/>
      </c>
      <c r="AD33">
        <f>MROUND(IF(O33=0,H33,IF(V33=0,AVERAGE(H33,O33),IF(AC33=0,AVERAGE(H33,O33,V33),AVERAGE(H33,O33,V33,AC33)))), 0.5)</f>
        <v/>
      </c>
      <c r="AE33">
        <f>IF(AD33&gt;=6,"Aprovado","Exame")</f>
        <v/>
      </c>
    </row>
    <row r="34">
      <c r="A34" t="inlineStr">
        <is>
          <t>VITOR DA SILVA FERREIRA</t>
        </is>
      </c>
      <c r="H34">
        <f>IFERROR(MIN(MROUND((((LARGE(B34:D34,1)+LARGE(B34:D34,2)+E34)/3)+F34+G34), 0.5), 10), 0)</f>
        <v/>
      </c>
      <c r="O34">
        <f>IFERROR(MIN(MROUND((((LARGE(I34:K34,1)+LARGE(I34:K34,2)+L34)/3)+M34+N34), 0.5), 10), 0)</f>
        <v/>
      </c>
      <c r="V34">
        <f>IFERROR(MIN(MROUND((((LARGE(P34:R34,1)+LARGE(P34:R34,2)+S34)/3)+T34+U34), 0.5), 10), 0)</f>
        <v/>
      </c>
      <c r="AC34">
        <f>IFERROR(MIN(MROUND((((LARGE(W34:Y34,1)+LARGE(W34:Y34,2)+Z34)/3)+AA34+AB34), 0.5), 10), 0)</f>
        <v/>
      </c>
      <c r="AD34">
        <f>MROUND(IF(O34=0,H34,IF(V34=0,AVERAGE(H34,O34),IF(AC34=0,AVERAGE(H34,O34,V34),AVERAGE(H34,O34,V34,AC34)))), 0.5)</f>
        <v/>
      </c>
      <c r="AE34">
        <f>IF(AD34&gt;=6,"Aprovado","Exame")</f>
        <v/>
      </c>
    </row>
    <row r="35">
      <c r="A35" t="inlineStr">
        <is>
          <t>GIOVANA DE SOUZA DELECLODI</t>
        </is>
      </c>
      <c r="H35">
        <f>IFERROR(MIN(MROUND((((LARGE(B35:D35,1)+LARGE(B35:D35,2)+E35)/3)+F35+G35), 0.5), 10), 0)</f>
        <v/>
      </c>
      <c r="O35">
        <f>IFERROR(MIN(MROUND((((LARGE(I35:K35,1)+LARGE(I35:K35,2)+L35)/3)+M35+N35), 0.5), 10), 0)</f>
        <v/>
      </c>
      <c r="V35">
        <f>IFERROR(MIN(MROUND((((LARGE(P35:R35,1)+LARGE(P35:R35,2)+S35)/3)+T35+U35), 0.5), 10), 0)</f>
        <v/>
      </c>
      <c r="AC35">
        <f>IFERROR(MIN(MROUND((((LARGE(W35:Y35,1)+LARGE(W35:Y35,2)+Z35)/3)+AA35+AB35), 0.5), 10), 0)</f>
        <v/>
      </c>
      <c r="AD35">
        <f>MROUND(IF(O35=0,H35,IF(V35=0,AVERAGE(H35,O35),IF(AC35=0,AVERAGE(H35,O35,V35),AVERAGE(H35,O35,V35,AC35)))), 0.5)</f>
        <v/>
      </c>
      <c r="AE35">
        <f>IF(AD35&gt;=6,"Aprovado","Exame")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2026-04-15T23:22:40Z</dcterms:created>
  <dcterms:modified xsi:type="dcterms:W3CDTF">2026-04-15T23:22:40Z</dcterms:modified>
</cp:coreProperties>
</file>